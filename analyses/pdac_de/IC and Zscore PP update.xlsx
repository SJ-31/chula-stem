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e6139372da5e5f/Desktop/"/>
    </mc:Choice>
  </mc:AlternateContent>
  <xr:revisionPtr revIDLastSave="54" documentId="13_ncr:1_{05CC1050-E10A-4721-9C4A-7693840C87B5}" xr6:coauthVersionLast="47" xr6:coauthVersionMax="47" xr10:uidLastSave="{636D2E07-752C-4C73-8F0E-DEF9689A53EC}"/>
  <bookViews>
    <workbookView xWindow="-98" yWindow="-98" windowWidth="28996" windowHeight="15675" activeTab="2" xr2:uid="{E6ABDD04-9EE8-4526-A5AE-82B6E8BB5654}"/>
  </bookViews>
  <sheets>
    <sheet name="IC50 80 90" sheetId="2" r:id="rId1"/>
    <sheet name="Z-score of All IC" sheetId="3" r:id="rId2"/>
    <sheet name="RAW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M15" i="1"/>
  <c r="BN15" i="1"/>
  <c r="BO15" i="1"/>
  <c r="BP15" i="1"/>
  <c r="BQ15" i="1"/>
  <c r="BM16" i="1"/>
  <c r="BN16" i="1"/>
  <c r="BO16" i="1"/>
  <c r="BP16" i="1"/>
  <c r="BQ16" i="1"/>
  <c r="BM17" i="1"/>
  <c r="BN17" i="1"/>
  <c r="BO17" i="1"/>
  <c r="BP17" i="1"/>
  <c r="BQ17" i="1"/>
  <c r="BL17" i="1"/>
  <c r="BL16" i="1"/>
  <c r="BL15" i="1"/>
  <c r="BS13" i="1"/>
  <c r="BR13" i="1"/>
  <c r="BS12" i="1"/>
  <c r="BR12" i="1"/>
  <c r="BS11" i="1"/>
  <c r="BR11" i="1"/>
  <c r="BM7" i="1"/>
  <c r="BN7" i="1"/>
  <c r="BO7" i="1"/>
  <c r="BP7" i="1"/>
  <c r="BQ7" i="1"/>
  <c r="BM8" i="1"/>
  <c r="BN8" i="1"/>
  <c r="BO8" i="1"/>
  <c r="BP8" i="1"/>
  <c r="BQ8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C7" i="1" l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B8" i="1"/>
  <c r="B7" i="1"/>
</calcChain>
</file>

<file path=xl/sharedStrings.xml><?xml version="1.0" encoding="utf-8"?>
<sst xmlns="http://schemas.openxmlformats.org/spreadsheetml/2006/main" count="1349" uniqueCount="80">
  <si>
    <t>P17</t>
  </si>
  <si>
    <t>P31</t>
  </si>
  <si>
    <t>P32</t>
  </si>
  <si>
    <t>P34</t>
  </si>
  <si>
    <t>P51</t>
  </si>
  <si>
    <t>P71</t>
  </si>
  <si>
    <t>P73</t>
  </si>
  <si>
    <t>P76</t>
  </si>
  <si>
    <t>P78</t>
  </si>
  <si>
    <t>P79</t>
  </si>
  <si>
    <t>P12</t>
  </si>
  <si>
    <t>P26</t>
  </si>
  <si>
    <t>P50 </t>
  </si>
  <si>
    <t>P53</t>
  </si>
  <si>
    <t>P58</t>
  </si>
  <si>
    <t>P64</t>
  </si>
  <si>
    <t>P70</t>
  </si>
  <si>
    <t>P38</t>
  </si>
  <si>
    <t>P40</t>
  </si>
  <si>
    <t>P56</t>
  </si>
  <si>
    <t>P59</t>
  </si>
  <si>
    <t>P62</t>
  </si>
  <si>
    <t>P63</t>
  </si>
  <si>
    <t>P68</t>
  </si>
  <si>
    <t>P80</t>
  </si>
  <si>
    <t>P82</t>
  </si>
  <si>
    <t>P83</t>
  </si>
  <si>
    <t>PHcase3</t>
  </si>
  <si>
    <t>PHcase5</t>
  </si>
  <si>
    <t>PHcase6</t>
  </si>
  <si>
    <t>PHcase9</t>
  </si>
  <si>
    <t>PHcase10</t>
  </si>
  <si>
    <t>PHcase13</t>
  </si>
  <si>
    <t>PHcase14</t>
  </si>
  <si>
    <t>PHcase16</t>
  </si>
  <si>
    <t>PHcase17</t>
  </si>
  <si>
    <t>PHcase20</t>
  </si>
  <si>
    <t>PHcase22</t>
  </si>
  <si>
    <t>log(inhibitor) vs. normalized response -- Variable slope</t>
  </si>
  <si>
    <t>Best-fit values</t>
  </si>
  <si>
    <t>     LogIC50</t>
  </si>
  <si>
    <t>     HillSlope</t>
  </si>
  <si>
    <t>     IC50</t>
  </si>
  <si>
    <t>IC90</t>
  </si>
  <si>
    <t>IC80</t>
  </si>
  <si>
    <t>IC50</t>
  </si>
  <si>
    <t>Mean</t>
  </si>
  <si>
    <t>SD</t>
  </si>
  <si>
    <t>z-score</t>
  </si>
  <si>
    <t>P3</t>
  </si>
  <si>
    <t>P41</t>
  </si>
  <si>
    <t>P42</t>
  </si>
  <si>
    <t>P43</t>
  </si>
  <si>
    <t>P45</t>
  </si>
  <si>
    <t>P50</t>
  </si>
  <si>
    <t>P1</t>
  </si>
  <si>
    <t>P24</t>
  </si>
  <si>
    <t>P11</t>
  </si>
  <si>
    <t>P12-1</t>
  </si>
  <si>
    <t>P12-3</t>
  </si>
  <si>
    <t>P13-1</t>
  </si>
  <si>
    <t>P13-2</t>
  </si>
  <si>
    <t>P14-1</t>
  </si>
  <si>
    <t>P14-2</t>
  </si>
  <si>
    <t>P15-2</t>
  </si>
  <si>
    <t>P16-4</t>
  </si>
  <si>
    <t>P17-1</t>
  </si>
  <si>
    <t>P17-2</t>
  </si>
  <si>
    <t>P18-1 Cyst</t>
  </si>
  <si>
    <t>P18-1 compact</t>
  </si>
  <si>
    <t>P19-2</t>
  </si>
  <si>
    <t>P20-2</t>
  </si>
  <si>
    <t>smallest to largest</t>
  </si>
  <si>
    <t>PHcase15</t>
  </si>
  <si>
    <t>PHcase12#1</t>
  </si>
  <si>
    <t>PHcase12#3</t>
  </si>
  <si>
    <t>PHcase2</t>
  </si>
  <si>
    <t>PHcase4</t>
  </si>
  <si>
    <t>Interrupted</t>
  </si>
  <si>
    <t>disruptted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</si>
</sst>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FF0000"/>
      <name val="Aptos Narrow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9E3F-7001-410F-BDEA-F2FA78430B9D}">
  <dimension ref="A1:AM70"/>
  <sheetViews>
    <sheetView topLeftCell="A34" workbookViewId="0">
      <selection activeCell="K12" sqref="K12"/>
    </sheetView>
  </sheetViews>
  <sheetFormatPr defaultRowHeight="14.25" x14ac:dyDescent="0.45"/>
  <cols>
    <col min="1" max="1" width="13.53125" style="7" customWidth="1"/>
    <col min="4" max="4" width="13.46484375" style="7" customWidth="1"/>
    <col min="7" max="7" width="13.46484375" style="7" customWidth="1"/>
  </cols>
  <sheetData>
    <row r="1" spans="1:9" x14ac:dyDescent="0.45">
      <c r="A1" t="s">
        <v>72</v>
      </c>
      <c r="D1"/>
      <c r="G1"/>
    </row>
    <row r="2" spans="1:9" x14ac:dyDescent="0.45">
      <c r="A2" s="6"/>
      <c r="B2" s="6" t="s">
        <v>45</v>
      </c>
      <c r="C2" s="6"/>
      <c r="D2" s="6"/>
      <c r="E2" s="6" t="s">
        <v>44</v>
      </c>
      <c r="F2" s="6"/>
      <c r="G2" s="6"/>
      <c r="H2" s="6" t="s">
        <v>43</v>
      </c>
    </row>
    <row r="3" spans="1:9" x14ac:dyDescent="0.45">
      <c r="A3" s="9" t="s">
        <v>75</v>
      </c>
      <c r="B3" s="9">
        <v>0</v>
      </c>
      <c r="C3" s="9"/>
      <c r="D3" s="9" t="s">
        <v>75</v>
      </c>
      <c r="E3" s="9">
        <v>0</v>
      </c>
      <c r="F3" s="9"/>
      <c r="G3" s="9" t="s">
        <v>75</v>
      </c>
      <c r="H3" s="9">
        <v>0</v>
      </c>
      <c r="I3" s="10" t="s">
        <v>78</v>
      </c>
    </row>
    <row r="4" spans="1:9" x14ac:dyDescent="0.45">
      <c r="A4" s="6" t="s">
        <v>23</v>
      </c>
      <c r="B4" s="6">
        <v>1.0659999999999999E-2</v>
      </c>
      <c r="C4" s="6"/>
      <c r="D4" s="6" t="s">
        <v>8</v>
      </c>
      <c r="E4" s="6">
        <v>3.6223039935125816E-2</v>
      </c>
      <c r="F4" s="6"/>
      <c r="G4" s="6" t="s">
        <v>8</v>
      </c>
      <c r="H4" s="6">
        <v>5.4765722840322932E-2</v>
      </c>
    </row>
    <row r="5" spans="1:9" x14ac:dyDescent="0.45">
      <c r="A5" s="6" t="s">
        <v>54</v>
      </c>
      <c r="B5" s="6">
        <v>1.0880000000000001E-2</v>
      </c>
      <c r="C5" s="6"/>
      <c r="D5" s="6" t="s">
        <v>9</v>
      </c>
      <c r="E5" s="6">
        <v>5.0517150383768916E-2</v>
      </c>
      <c r="F5" s="6"/>
      <c r="G5" s="6" t="s">
        <v>9</v>
      </c>
      <c r="H5" s="6">
        <v>8.3111483795136359E-2</v>
      </c>
    </row>
    <row r="6" spans="1:9" x14ac:dyDescent="0.45">
      <c r="A6" s="6" t="s">
        <v>53</v>
      </c>
      <c r="B6" s="6">
        <v>1.193E-2</v>
      </c>
      <c r="C6" s="6"/>
      <c r="D6" s="6" t="s">
        <v>54</v>
      </c>
      <c r="E6" s="6">
        <v>8.005733443938931E-2</v>
      </c>
      <c r="F6" s="6"/>
      <c r="G6" s="6" t="s">
        <v>6</v>
      </c>
      <c r="H6" s="6">
        <v>0.14491222423427322</v>
      </c>
    </row>
    <row r="7" spans="1:9" x14ac:dyDescent="0.45">
      <c r="A7" s="6" t="s">
        <v>18</v>
      </c>
      <c r="B7" s="6">
        <v>1.392E-2</v>
      </c>
      <c r="C7" s="6"/>
      <c r="D7" s="6" t="s">
        <v>6</v>
      </c>
      <c r="E7" s="6">
        <v>8.8349086510997127E-2</v>
      </c>
      <c r="F7" s="6"/>
      <c r="G7" s="6" t="s">
        <v>54</v>
      </c>
      <c r="H7" s="6">
        <v>0.25733147239473975</v>
      </c>
    </row>
    <row r="8" spans="1:9" x14ac:dyDescent="0.45">
      <c r="A8" s="6" t="s">
        <v>56</v>
      </c>
      <c r="B8" s="6">
        <v>1.7809999999999999E-2</v>
      </c>
      <c r="C8" s="6"/>
      <c r="D8" s="6" t="s">
        <v>30</v>
      </c>
      <c r="E8" s="6">
        <v>0.12598898318469523</v>
      </c>
      <c r="F8" s="6"/>
      <c r="G8" s="6" t="s">
        <v>33</v>
      </c>
      <c r="H8" s="6">
        <v>0.28751840001338019</v>
      </c>
    </row>
    <row r="9" spans="1:9" x14ac:dyDescent="0.45">
      <c r="A9" s="6" t="s">
        <v>8</v>
      </c>
      <c r="B9" s="6">
        <v>1.787E-2</v>
      </c>
      <c r="C9" s="6"/>
      <c r="D9" s="6" t="s">
        <v>33</v>
      </c>
      <c r="E9" s="6">
        <v>0.14263800728989859</v>
      </c>
      <c r="F9" s="6"/>
      <c r="G9" s="6" t="s">
        <v>30</v>
      </c>
      <c r="H9" s="6">
        <v>0.38778043848968735</v>
      </c>
    </row>
    <row r="10" spans="1:9" x14ac:dyDescent="0.45">
      <c r="A10" s="6" t="s">
        <v>30</v>
      </c>
      <c r="B10" s="6">
        <v>1.8440000000000002E-2</v>
      </c>
      <c r="C10" s="6"/>
      <c r="D10" s="6" t="s">
        <v>73</v>
      </c>
      <c r="E10" s="6">
        <v>0.15291545354702152</v>
      </c>
      <c r="F10" s="6"/>
      <c r="G10" s="6" t="s">
        <v>73</v>
      </c>
      <c r="H10" s="6">
        <v>0.48171514285272665</v>
      </c>
    </row>
    <row r="11" spans="1:9" x14ac:dyDescent="0.45">
      <c r="A11" s="6" t="s">
        <v>73</v>
      </c>
      <c r="B11" s="6">
        <v>2.1510000000000001E-2</v>
      </c>
      <c r="C11" s="6"/>
      <c r="D11" s="6" t="s">
        <v>56</v>
      </c>
      <c r="E11" s="6">
        <v>0.1717530848407369</v>
      </c>
      <c r="F11" s="6"/>
      <c r="G11" s="6" t="s">
        <v>32</v>
      </c>
      <c r="H11" s="6">
        <v>0.58212459881609036</v>
      </c>
    </row>
    <row r="12" spans="1:9" x14ac:dyDescent="0.45">
      <c r="A12" s="6" t="s">
        <v>9</v>
      </c>
      <c r="B12" s="6">
        <v>2.1569999999999999E-2</v>
      </c>
      <c r="C12" s="6"/>
      <c r="D12" s="6" t="s">
        <v>53</v>
      </c>
      <c r="E12" s="6">
        <v>0.21884929272443976</v>
      </c>
      <c r="F12" s="6"/>
      <c r="G12" s="6" t="s">
        <v>34</v>
      </c>
      <c r="H12" s="6">
        <v>0.62231538919407858</v>
      </c>
    </row>
    <row r="13" spans="1:9" x14ac:dyDescent="0.45">
      <c r="A13" s="6" t="s">
        <v>25</v>
      </c>
      <c r="B13" s="6">
        <v>2.8240000000000001E-2</v>
      </c>
      <c r="C13" s="6"/>
      <c r="D13" s="6" t="s">
        <v>62</v>
      </c>
      <c r="E13" s="6">
        <v>0.23061477071783906</v>
      </c>
      <c r="F13" s="6"/>
      <c r="G13" s="6" t="s">
        <v>56</v>
      </c>
      <c r="H13" s="6">
        <v>0.64672463727121587</v>
      </c>
    </row>
    <row r="14" spans="1:9" x14ac:dyDescent="0.45">
      <c r="A14" s="6" t="s">
        <v>4</v>
      </c>
      <c r="B14" s="6">
        <v>2.8369999999999999E-2</v>
      </c>
      <c r="C14" s="6"/>
      <c r="D14" s="6" t="s">
        <v>18</v>
      </c>
      <c r="E14" s="6">
        <v>0.25488774120445173</v>
      </c>
      <c r="F14" s="6"/>
      <c r="G14" s="6" t="s">
        <v>62</v>
      </c>
      <c r="H14" s="6">
        <v>0.65188286699735609</v>
      </c>
    </row>
    <row r="15" spans="1:9" x14ac:dyDescent="0.45">
      <c r="A15" s="6" t="s">
        <v>57</v>
      </c>
      <c r="B15" s="6">
        <v>3.3410000000000002E-2</v>
      </c>
      <c r="C15" s="6"/>
      <c r="D15" s="6" t="s">
        <v>34</v>
      </c>
      <c r="E15" s="6">
        <v>0.26332625164763374</v>
      </c>
      <c r="F15" s="6"/>
      <c r="G15" s="6" t="s">
        <v>7</v>
      </c>
      <c r="H15" s="6">
        <v>0.73931448785440024</v>
      </c>
    </row>
    <row r="16" spans="1:9" x14ac:dyDescent="0.45">
      <c r="A16" s="6" t="s">
        <v>5</v>
      </c>
      <c r="B16" s="6">
        <v>3.5720000000000002E-2</v>
      </c>
      <c r="C16" s="6"/>
      <c r="D16" s="6" t="s">
        <v>32</v>
      </c>
      <c r="E16" s="6">
        <v>0.27026151759086181</v>
      </c>
      <c r="F16" s="6"/>
      <c r="G16" s="6" t="s">
        <v>26</v>
      </c>
      <c r="H16" s="6">
        <v>0.90367097169987176</v>
      </c>
    </row>
    <row r="17" spans="1:8" x14ac:dyDescent="0.45">
      <c r="A17" s="6" t="s">
        <v>6</v>
      </c>
      <c r="B17" s="6">
        <v>3.7920000000000002E-2</v>
      </c>
      <c r="C17" s="6"/>
      <c r="D17" s="6" t="s">
        <v>23</v>
      </c>
      <c r="E17" s="6">
        <v>0.30912398243847794</v>
      </c>
      <c r="F17" s="6"/>
      <c r="G17" s="6" t="s">
        <v>51</v>
      </c>
      <c r="H17" s="6">
        <v>0.97078580231654654</v>
      </c>
    </row>
    <row r="18" spans="1:8" x14ac:dyDescent="0.45">
      <c r="A18" s="6" t="s">
        <v>21</v>
      </c>
      <c r="B18" s="6">
        <v>3.823E-2</v>
      </c>
      <c r="C18" s="6"/>
      <c r="D18" s="6" t="s">
        <v>4</v>
      </c>
      <c r="E18" s="6">
        <v>0.31537607504608389</v>
      </c>
      <c r="F18" s="6"/>
      <c r="G18" s="6" t="s">
        <v>20</v>
      </c>
      <c r="H18" s="6">
        <v>1.1049889892447677</v>
      </c>
    </row>
    <row r="19" spans="1:8" x14ac:dyDescent="0.45">
      <c r="A19" s="6" t="s">
        <v>61</v>
      </c>
      <c r="B19" s="6">
        <v>3.8539999999999998E-2</v>
      </c>
      <c r="C19" s="6"/>
      <c r="D19" s="6" t="s">
        <v>7</v>
      </c>
      <c r="E19" s="6">
        <v>0.34571685053844753</v>
      </c>
      <c r="F19" s="6"/>
      <c r="G19" s="6" t="s">
        <v>53</v>
      </c>
      <c r="H19" s="6">
        <v>1.2004364275373716</v>
      </c>
    </row>
    <row r="20" spans="1:8" x14ac:dyDescent="0.45">
      <c r="A20" s="6" t="s">
        <v>0</v>
      </c>
      <c r="B20" s="6">
        <v>3.8670000000000003E-2</v>
      </c>
      <c r="C20" s="6"/>
      <c r="D20" s="6" t="s">
        <v>20</v>
      </c>
      <c r="E20" s="6">
        <v>0.35783199185192188</v>
      </c>
      <c r="F20" s="6"/>
      <c r="G20" s="6" t="s">
        <v>4</v>
      </c>
      <c r="H20" s="6">
        <v>1.2904972372434595</v>
      </c>
    </row>
    <row r="21" spans="1:8" x14ac:dyDescent="0.45">
      <c r="A21" s="6" t="s">
        <v>62</v>
      </c>
      <c r="B21" s="6">
        <v>3.9039999999999998E-2</v>
      </c>
      <c r="C21" s="6"/>
      <c r="D21" s="6" t="s">
        <v>26</v>
      </c>
      <c r="E21" s="6">
        <v>0.3626548132726225</v>
      </c>
      <c r="F21" s="6"/>
      <c r="G21" s="6" t="s">
        <v>18</v>
      </c>
      <c r="H21" s="6">
        <v>1.3966187557124865</v>
      </c>
    </row>
    <row r="22" spans="1:8" x14ac:dyDescent="0.45">
      <c r="A22" s="6" t="s">
        <v>17</v>
      </c>
      <c r="B22" s="6">
        <v>3.9280000000000002E-2</v>
      </c>
      <c r="C22" s="6"/>
      <c r="D22" s="6" t="s">
        <v>51</v>
      </c>
      <c r="E22" s="6">
        <v>0.37822372293229178</v>
      </c>
      <c r="F22" s="6"/>
      <c r="G22" s="6" t="s">
        <v>17</v>
      </c>
      <c r="H22" s="6">
        <v>1.4806807761179237</v>
      </c>
    </row>
    <row r="23" spans="1:8" x14ac:dyDescent="0.45">
      <c r="A23" s="6" t="s">
        <v>49</v>
      </c>
      <c r="B23" s="6">
        <v>4.0189999999999997E-2</v>
      </c>
      <c r="C23" s="6"/>
      <c r="D23" s="6" t="s">
        <v>17</v>
      </c>
      <c r="E23" s="6">
        <v>0.38784165488193301</v>
      </c>
      <c r="F23" s="6"/>
      <c r="G23" s="6" t="s">
        <v>49</v>
      </c>
      <c r="H23" s="6">
        <v>1.4907648502410067</v>
      </c>
    </row>
    <row r="24" spans="1:8" x14ac:dyDescent="0.45">
      <c r="A24" s="6" t="s">
        <v>22</v>
      </c>
      <c r="B24" s="6">
        <v>4.0719999999999999E-2</v>
      </c>
      <c r="C24" s="6"/>
      <c r="D24" s="6" t="s">
        <v>49</v>
      </c>
      <c r="E24" s="6">
        <v>0.39281260463645079</v>
      </c>
      <c r="F24" s="6"/>
      <c r="G24" s="6" t="s">
        <v>14</v>
      </c>
      <c r="H24" s="6">
        <v>1.5482124484755211</v>
      </c>
    </row>
    <row r="25" spans="1:8" x14ac:dyDescent="0.45">
      <c r="A25" s="6" t="s">
        <v>65</v>
      </c>
      <c r="B25" s="6">
        <v>4.258E-2</v>
      </c>
      <c r="C25" s="6"/>
      <c r="D25" s="6" t="s">
        <v>57</v>
      </c>
      <c r="E25" s="6">
        <v>0.39858565782271144</v>
      </c>
      <c r="F25" s="6"/>
      <c r="G25" s="6" t="s">
        <v>17</v>
      </c>
      <c r="H25" s="6">
        <v>1.5567731931733471</v>
      </c>
    </row>
    <row r="26" spans="1:8" x14ac:dyDescent="0.45">
      <c r="A26" s="6" t="s">
        <v>33</v>
      </c>
      <c r="B26" s="6">
        <v>4.3040000000000002E-2</v>
      </c>
      <c r="C26" s="6"/>
      <c r="D26" s="6" t="s">
        <v>61</v>
      </c>
      <c r="E26" s="6">
        <v>0.44189281357914828</v>
      </c>
      <c r="F26" s="6"/>
      <c r="G26" s="6" t="s">
        <v>57</v>
      </c>
      <c r="H26" s="6">
        <v>1.6997944185207976</v>
      </c>
    </row>
    <row r="27" spans="1:8" x14ac:dyDescent="0.45">
      <c r="A27" s="6" t="s">
        <v>63</v>
      </c>
      <c r="B27" s="6">
        <v>4.4260000000000001E-2</v>
      </c>
      <c r="C27" s="6"/>
      <c r="D27" s="6" t="s">
        <v>21</v>
      </c>
      <c r="E27" s="6">
        <v>0.47279806463496149</v>
      </c>
      <c r="F27" s="6"/>
      <c r="G27" s="6" t="s">
        <v>61</v>
      </c>
      <c r="H27" s="6">
        <v>1.8412200446128824</v>
      </c>
    </row>
    <row r="28" spans="1:8" x14ac:dyDescent="0.45">
      <c r="A28" s="6" t="s">
        <v>66</v>
      </c>
      <c r="B28" s="6">
        <v>4.7849999999999997E-2</v>
      </c>
      <c r="C28" s="6"/>
      <c r="D28" s="6" t="s">
        <v>65</v>
      </c>
      <c r="E28" s="6">
        <v>0.4932917554459077</v>
      </c>
      <c r="F28" s="6"/>
      <c r="G28" s="6" t="s">
        <v>28</v>
      </c>
      <c r="H28" s="6">
        <v>1.9539796534200873</v>
      </c>
    </row>
    <row r="29" spans="1:8" x14ac:dyDescent="0.45">
      <c r="A29" s="6" t="s">
        <v>67</v>
      </c>
      <c r="B29" s="6">
        <v>4.7849999999999997E-2</v>
      </c>
      <c r="C29" s="6"/>
      <c r="D29" s="6" t="s">
        <v>17</v>
      </c>
      <c r="E29" s="6">
        <v>0.50587089140490937</v>
      </c>
      <c r="F29" s="6"/>
      <c r="G29" s="6" t="s">
        <v>13</v>
      </c>
      <c r="H29" s="6">
        <v>1.9620390120168407</v>
      </c>
    </row>
    <row r="30" spans="1:8" x14ac:dyDescent="0.45">
      <c r="A30" s="6" t="s">
        <v>11</v>
      </c>
      <c r="B30" s="6">
        <v>5.0369999999999998E-2</v>
      </c>
      <c r="C30" s="6"/>
      <c r="D30" s="6" t="s">
        <v>63</v>
      </c>
      <c r="E30" s="6">
        <v>0.51364391297939893</v>
      </c>
      <c r="F30" s="6"/>
      <c r="G30" s="6" t="s">
        <v>21</v>
      </c>
      <c r="H30" s="6">
        <v>2.059170414403042</v>
      </c>
    </row>
    <row r="31" spans="1:8" x14ac:dyDescent="0.45">
      <c r="A31" s="6" t="s">
        <v>20</v>
      </c>
      <c r="B31" s="6">
        <v>5.2080000000000001E-2</v>
      </c>
      <c r="C31" s="6"/>
      <c r="D31" s="6" t="s">
        <v>5</v>
      </c>
      <c r="E31" s="6">
        <v>0.51371130820071587</v>
      </c>
      <c r="F31" s="6"/>
      <c r="G31" s="6" t="s">
        <v>65</v>
      </c>
      <c r="H31" s="6">
        <v>2.0678601141091404</v>
      </c>
    </row>
    <row r="32" spans="1:8" x14ac:dyDescent="0.45">
      <c r="A32" s="6" t="s">
        <v>60</v>
      </c>
      <c r="B32" s="6">
        <v>5.3150000000000003E-2</v>
      </c>
      <c r="C32" s="6"/>
      <c r="D32" s="6" t="s">
        <v>14</v>
      </c>
      <c r="E32" s="6">
        <v>0.53368902328404444</v>
      </c>
      <c r="F32" s="6"/>
      <c r="G32" s="6" t="s">
        <v>63</v>
      </c>
      <c r="H32" s="6">
        <v>2.1553594353107481</v>
      </c>
    </row>
    <row r="33" spans="1:39" x14ac:dyDescent="0.45">
      <c r="A33" s="6" t="s">
        <v>50</v>
      </c>
      <c r="B33" s="6">
        <v>5.3560000000000003E-2</v>
      </c>
      <c r="C33" s="6"/>
      <c r="D33" s="6" t="s">
        <v>28</v>
      </c>
      <c r="E33" s="6">
        <v>0.54007210753640622</v>
      </c>
      <c r="F33" s="6"/>
      <c r="G33" s="6" t="s">
        <v>29</v>
      </c>
      <c r="H33" s="6">
        <v>2.1898070053022374</v>
      </c>
    </row>
    <row r="34" spans="1:39" x14ac:dyDescent="0.45">
      <c r="A34" s="6" t="s">
        <v>28</v>
      </c>
      <c r="B34" s="6">
        <v>5.9959999999999999E-2</v>
      </c>
      <c r="C34" s="6"/>
      <c r="D34" s="6" t="s">
        <v>0</v>
      </c>
      <c r="E34" s="6">
        <v>0.57643675465375055</v>
      </c>
      <c r="F34" s="6"/>
      <c r="G34" s="6" t="s">
        <v>23</v>
      </c>
      <c r="H34" s="6">
        <v>2.2165269685831226</v>
      </c>
    </row>
    <row r="35" spans="1:39" x14ac:dyDescent="0.45">
      <c r="A35" s="6" t="s">
        <v>34</v>
      </c>
      <c r="B35" s="6">
        <v>6.0539999999999997E-2</v>
      </c>
      <c r="C35" s="6"/>
      <c r="D35" s="6" t="s">
        <v>13</v>
      </c>
      <c r="E35" s="6">
        <v>0.60927243788837793</v>
      </c>
      <c r="F35" s="6"/>
      <c r="G35" s="6" t="s">
        <v>5</v>
      </c>
      <c r="H35" s="6">
        <v>2.443862241756265</v>
      </c>
    </row>
    <row r="36" spans="1:39" x14ac:dyDescent="0.45">
      <c r="A36" s="6" t="s">
        <v>58</v>
      </c>
      <c r="B36" s="6">
        <v>6.447E-2</v>
      </c>
      <c r="C36" s="6"/>
      <c r="D36" s="6" t="s">
        <v>22</v>
      </c>
      <c r="E36" s="6">
        <v>0.62772792059102112</v>
      </c>
      <c r="F36" s="6"/>
      <c r="G36" s="6" t="s">
        <v>15</v>
      </c>
      <c r="H36" s="6">
        <v>2.6128112977564553</v>
      </c>
    </row>
    <row r="37" spans="1:39" x14ac:dyDescent="0.45">
      <c r="A37" s="6" t="s">
        <v>4</v>
      </c>
      <c r="B37" s="6">
        <v>6.4990000000000006E-2</v>
      </c>
      <c r="C37" s="6"/>
      <c r="D37" s="6" t="s">
        <v>15</v>
      </c>
      <c r="E37" s="6">
        <v>0.70139344417318739</v>
      </c>
      <c r="F37" s="6"/>
      <c r="G37" s="6" t="s">
        <v>55</v>
      </c>
      <c r="H37" s="6">
        <v>2.6573656388836722</v>
      </c>
    </row>
    <row r="38" spans="1:39" x14ac:dyDescent="0.45">
      <c r="A38" s="6" t="s">
        <v>10</v>
      </c>
      <c r="B38" s="6">
        <v>6.6570000000000004E-2</v>
      </c>
      <c r="C38" s="6"/>
      <c r="D38" s="6" t="s">
        <v>29</v>
      </c>
      <c r="E38" s="6">
        <v>0.7138993345248219</v>
      </c>
      <c r="F38" s="6"/>
      <c r="G38" s="6" t="s">
        <v>37</v>
      </c>
      <c r="H38" s="6">
        <v>2.6784472295284418</v>
      </c>
    </row>
    <row r="39" spans="1:39" x14ac:dyDescent="0.45">
      <c r="A39" s="6" t="s">
        <v>32</v>
      </c>
      <c r="B39" s="6">
        <v>7.281E-2</v>
      </c>
      <c r="C39" s="6"/>
      <c r="D39" s="6" t="s">
        <v>4</v>
      </c>
      <c r="E39" s="6">
        <v>0.76750569399318491</v>
      </c>
      <c r="F39" s="6"/>
      <c r="G39" s="6" t="s">
        <v>31</v>
      </c>
      <c r="H39" s="6">
        <v>2.688684844491759</v>
      </c>
    </row>
    <row r="40" spans="1:39" x14ac:dyDescent="0.45">
      <c r="A40" s="6" t="s">
        <v>17</v>
      </c>
      <c r="B40" s="6">
        <v>7.4060000000000001E-2</v>
      </c>
      <c r="C40" s="6"/>
      <c r="D40" s="6" t="s">
        <v>52</v>
      </c>
      <c r="E40" s="6">
        <v>0.78117659180428412</v>
      </c>
      <c r="F40" s="6"/>
      <c r="G40" s="6" t="s">
        <v>52</v>
      </c>
      <c r="H40" s="6">
        <v>2.7614139763556396</v>
      </c>
    </row>
    <row r="41" spans="1:39" x14ac:dyDescent="0.45">
      <c r="A41" s="6" t="s">
        <v>15</v>
      </c>
      <c r="B41" s="6">
        <v>7.4079999999999993E-2</v>
      </c>
      <c r="C41" s="6"/>
      <c r="D41" s="6" t="s">
        <v>58</v>
      </c>
      <c r="E41" s="6">
        <v>0.80317261381892979</v>
      </c>
      <c r="F41" s="6"/>
      <c r="G41" s="6" t="s">
        <v>0</v>
      </c>
      <c r="H41" s="6">
        <v>2.8003875756804453</v>
      </c>
    </row>
    <row r="42" spans="1:39" x14ac:dyDescent="0.45">
      <c r="A42" s="6" t="s">
        <v>51</v>
      </c>
      <c r="B42" s="6">
        <v>7.5509999999999994E-2</v>
      </c>
      <c r="C42" s="6"/>
      <c r="D42" s="6" t="s">
        <v>66</v>
      </c>
      <c r="E42" s="6">
        <v>0.8405799959739676</v>
      </c>
      <c r="F42" s="6"/>
      <c r="G42" s="6" t="s">
        <v>22</v>
      </c>
      <c r="H42" s="6">
        <v>3.1100784699909849</v>
      </c>
    </row>
    <row r="43" spans="1:39" x14ac:dyDescent="0.45">
      <c r="A43" s="6" t="s">
        <v>26</v>
      </c>
      <c r="B43" s="6">
        <v>7.6160000000000005E-2</v>
      </c>
      <c r="C43" s="6"/>
      <c r="D43" s="6" t="s">
        <v>67</v>
      </c>
      <c r="E43" s="6">
        <v>0.8405799959739676</v>
      </c>
      <c r="F43" s="6"/>
      <c r="G43" s="6" t="s">
        <v>19</v>
      </c>
      <c r="H43" s="6">
        <v>3.2065461363672809</v>
      </c>
    </row>
    <row r="44" spans="1:39" x14ac:dyDescent="0.45">
      <c r="A44" s="6" t="s">
        <v>12</v>
      </c>
      <c r="B44" s="6">
        <v>8.1009999999999999E-2</v>
      </c>
      <c r="C44" s="6"/>
      <c r="D44" s="6" t="s">
        <v>55</v>
      </c>
      <c r="E44" s="6">
        <v>0.85146828830009036</v>
      </c>
      <c r="F44" s="6"/>
      <c r="G44" s="6" t="s">
        <v>4</v>
      </c>
      <c r="H44" s="6">
        <v>3.2536906762732629</v>
      </c>
      <c r="AM44" s="1">
        <v>2</v>
      </c>
    </row>
    <row r="45" spans="1:39" x14ac:dyDescent="0.45">
      <c r="A45" s="6" t="s">
        <v>64</v>
      </c>
      <c r="B45" s="6">
        <v>8.1280000000000005E-2</v>
      </c>
      <c r="C45" s="6"/>
      <c r="D45" s="6" t="s">
        <v>19</v>
      </c>
      <c r="E45" s="6">
        <v>0.87011306347159945</v>
      </c>
      <c r="F45" s="6"/>
      <c r="G45" s="6" t="s">
        <v>35</v>
      </c>
      <c r="H45" s="6">
        <v>3.3924881971265064</v>
      </c>
      <c r="AM45" s="1">
        <v>0.63200000000000001</v>
      </c>
    </row>
    <row r="46" spans="1:39" x14ac:dyDescent="0.45">
      <c r="A46" s="6" t="s">
        <v>59</v>
      </c>
      <c r="B46" s="6">
        <v>8.2140000000000005E-2</v>
      </c>
      <c r="C46" s="6"/>
      <c r="D46" s="6" t="s">
        <v>31</v>
      </c>
      <c r="E46" s="6">
        <v>0.91601072947319429</v>
      </c>
      <c r="F46" s="6"/>
      <c r="G46" s="6" t="s">
        <v>58</v>
      </c>
      <c r="H46" s="6">
        <v>3.5130618965813669</v>
      </c>
      <c r="AM46" s="1">
        <v>0.2</v>
      </c>
    </row>
    <row r="47" spans="1:39" x14ac:dyDescent="0.45">
      <c r="A47" s="6" t="s">
        <v>13</v>
      </c>
      <c r="B47" s="6">
        <v>8.2540000000000002E-2</v>
      </c>
      <c r="C47" s="6"/>
      <c r="D47" s="6" t="s">
        <v>25</v>
      </c>
      <c r="E47" s="6">
        <v>0.93587577512524911</v>
      </c>
      <c r="F47" s="6"/>
      <c r="G47" s="6" t="s">
        <v>69</v>
      </c>
      <c r="H47" s="6">
        <v>3.5264890964449558</v>
      </c>
      <c r="AM47" s="1">
        <v>6.3200000000000006E-2</v>
      </c>
    </row>
    <row r="48" spans="1:39" x14ac:dyDescent="0.45">
      <c r="A48" s="6" t="s">
        <v>14</v>
      </c>
      <c r="B48" s="6">
        <v>8.6430000000000007E-2</v>
      </c>
      <c r="C48" s="6"/>
      <c r="D48" s="6" t="s">
        <v>35</v>
      </c>
      <c r="E48" s="6">
        <v>0.93633128901295892</v>
      </c>
      <c r="F48" s="6"/>
      <c r="G48" s="6" t="s">
        <v>70</v>
      </c>
      <c r="H48" s="6">
        <v>3.9667133335808171</v>
      </c>
      <c r="AM48" s="1">
        <v>0.02</v>
      </c>
    </row>
    <row r="49" spans="1:39" x14ac:dyDescent="0.45">
      <c r="A49" s="6" t="s">
        <v>52</v>
      </c>
      <c r="B49" s="6">
        <v>9.0240000000000001E-2</v>
      </c>
      <c r="C49" s="6"/>
      <c r="D49" s="6" t="s">
        <v>69</v>
      </c>
      <c r="E49" s="6">
        <v>0.97132570695370091</v>
      </c>
      <c r="F49" s="6"/>
      <c r="G49" s="6" t="s">
        <v>64</v>
      </c>
      <c r="H49" s="6">
        <v>4.2631212686783924</v>
      </c>
      <c r="AM49" s="1">
        <v>6.3200000000000001E-3</v>
      </c>
    </row>
    <row r="50" spans="1:39" x14ac:dyDescent="0.45">
      <c r="A50" s="6" t="s">
        <v>74</v>
      </c>
      <c r="B50" s="6">
        <v>9.1730000000000006E-2</v>
      </c>
      <c r="C50" s="6"/>
      <c r="D50" s="6" t="s">
        <v>64</v>
      </c>
      <c r="E50" s="6">
        <v>0.9884892837892485</v>
      </c>
      <c r="F50" s="6"/>
      <c r="G50" s="6" t="s">
        <v>66</v>
      </c>
      <c r="H50" s="6">
        <v>4.4954169015043712</v>
      </c>
      <c r="AM50" s="1">
        <v>2E-3</v>
      </c>
    </row>
    <row r="51" spans="1:39" x14ac:dyDescent="0.45">
      <c r="A51" s="6" t="s">
        <v>19</v>
      </c>
      <c r="B51" s="6">
        <v>9.3609999999999999E-2</v>
      </c>
      <c r="C51" s="6"/>
      <c r="D51" s="6" t="s">
        <v>60</v>
      </c>
      <c r="E51" s="6">
        <v>1.0163125843158618</v>
      </c>
      <c r="F51" s="6"/>
      <c r="G51" s="6" t="s">
        <v>67</v>
      </c>
      <c r="H51" s="6">
        <v>4.4954169015043712</v>
      </c>
      <c r="AM51" s="1">
        <v>6.3199999999999997E-4</v>
      </c>
    </row>
    <row r="52" spans="1:39" x14ac:dyDescent="0.45">
      <c r="A52" s="6" t="s">
        <v>7</v>
      </c>
      <c r="B52" s="6">
        <v>9.4289999999999999E-2</v>
      </c>
      <c r="C52" s="6"/>
      <c r="D52" s="6" t="s">
        <v>50</v>
      </c>
      <c r="E52" s="6">
        <v>1.0430962384515565</v>
      </c>
      <c r="F52" s="6"/>
      <c r="G52" s="6" t="s">
        <v>60</v>
      </c>
      <c r="H52" s="6">
        <v>5.7116719278214365</v>
      </c>
    </row>
    <row r="53" spans="1:39" x14ac:dyDescent="0.45">
      <c r="A53" s="6" t="s">
        <v>35</v>
      </c>
      <c r="B53" s="6">
        <v>0.1037</v>
      </c>
      <c r="C53" s="6"/>
      <c r="D53" s="6" t="s">
        <v>70</v>
      </c>
      <c r="E53" s="6">
        <v>1.3061576610001779</v>
      </c>
      <c r="F53" s="6"/>
      <c r="G53" s="6" t="s">
        <v>50</v>
      </c>
      <c r="H53" s="6">
        <v>5.925391841897107</v>
      </c>
    </row>
    <row r="54" spans="1:39" x14ac:dyDescent="0.45">
      <c r="A54" s="6" t="s">
        <v>29</v>
      </c>
      <c r="B54" s="6">
        <v>0.1051</v>
      </c>
      <c r="C54" s="6"/>
      <c r="D54" s="6" t="s">
        <v>10</v>
      </c>
      <c r="E54" s="6">
        <v>1.319903130958362</v>
      </c>
      <c r="F54" s="6"/>
      <c r="G54" s="6" t="s">
        <v>76</v>
      </c>
      <c r="H54" s="6">
        <v>6.8112496648825722</v>
      </c>
    </row>
    <row r="55" spans="1:39" x14ac:dyDescent="0.45">
      <c r="A55" s="6" t="s">
        <v>69</v>
      </c>
      <c r="B55" s="6">
        <v>0.1072</v>
      </c>
      <c r="C55" s="6"/>
      <c r="D55" s="6" t="s">
        <v>74</v>
      </c>
      <c r="E55" s="6">
        <v>1.7322195642263483</v>
      </c>
      <c r="F55" s="6"/>
      <c r="G55" s="6" t="s">
        <v>25</v>
      </c>
      <c r="H55" s="6">
        <v>7.2556725526337758</v>
      </c>
    </row>
    <row r="56" spans="1:39" x14ac:dyDescent="0.45">
      <c r="A56" s="6" t="s">
        <v>55</v>
      </c>
      <c r="B56" s="6">
        <v>0.1217</v>
      </c>
      <c r="C56" s="6"/>
      <c r="D56" s="6" t="s">
        <v>12</v>
      </c>
      <c r="E56" s="6">
        <v>1.7759448759127925</v>
      </c>
      <c r="F56" s="6"/>
      <c r="G56" s="6" t="s">
        <v>27</v>
      </c>
      <c r="H56" s="6">
        <v>7.4815614217753161</v>
      </c>
    </row>
    <row r="57" spans="1:39" x14ac:dyDescent="0.45">
      <c r="A57" s="6" t="s">
        <v>1</v>
      </c>
      <c r="B57" s="6">
        <v>0.13780000000000001</v>
      </c>
      <c r="C57" s="6"/>
      <c r="D57" s="6" t="s">
        <v>76</v>
      </c>
      <c r="E57" s="6">
        <v>1.9230447545026816</v>
      </c>
      <c r="F57" s="6"/>
      <c r="G57" s="6" t="s">
        <v>10</v>
      </c>
      <c r="H57" s="6">
        <v>7.5768055863232666</v>
      </c>
    </row>
    <row r="58" spans="1:39" x14ac:dyDescent="0.45">
      <c r="A58" s="6" t="s">
        <v>31</v>
      </c>
      <c r="B58" s="6">
        <v>0.1454</v>
      </c>
      <c r="C58" s="6"/>
      <c r="D58" s="6" t="s">
        <v>27</v>
      </c>
      <c r="E58" s="6">
        <v>1.9509980270212828</v>
      </c>
      <c r="F58" s="6"/>
      <c r="G58" s="6" t="s">
        <v>68</v>
      </c>
      <c r="H58" s="6">
        <v>9.6626372703398893</v>
      </c>
    </row>
    <row r="59" spans="1:39" x14ac:dyDescent="0.45">
      <c r="A59" s="6" t="s">
        <v>68</v>
      </c>
      <c r="B59" s="6">
        <v>0.14749999999999999</v>
      </c>
      <c r="C59" s="6"/>
      <c r="D59" s="6" t="s">
        <v>68</v>
      </c>
      <c r="E59" s="6">
        <v>2.0639533808329174</v>
      </c>
      <c r="F59" s="6"/>
      <c r="G59" s="6" t="s">
        <v>74</v>
      </c>
      <c r="H59" s="6">
        <v>9.6640840029430315</v>
      </c>
    </row>
    <row r="60" spans="1:39" x14ac:dyDescent="0.45">
      <c r="A60" s="6" t="s">
        <v>70</v>
      </c>
      <c r="B60" s="6">
        <v>0.1956</v>
      </c>
      <c r="C60" s="6"/>
      <c r="D60" s="6" t="s">
        <v>37</v>
      </c>
      <c r="E60" s="6">
        <v>2.0759869153659007</v>
      </c>
      <c r="F60" s="6"/>
      <c r="G60" s="6" t="s">
        <v>71</v>
      </c>
      <c r="H60" s="6">
        <v>9.883078447650151</v>
      </c>
    </row>
    <row r="61" spans="1:39" x14ac:dyDescent="0.45">
      <c r="A61" s="6" t="s">
        <v>27</v>
      </c>
      <c r="B61" s="6">
        <v>0.1961</v>
      </c>
      <c r="C61" s="6"/>
      <c r="D61" s="6" t="s">
        <v>1</v>
      </c>
      <c r="E61" s="6">
        <v>2.1311842121763789</v>
      </c>
      <c r="F61" s="6"/>
      <c r="G61" s="6" t="s">
        <v>36</v>
      </c>
      <c r="H61" s="6">
        <v>10.416324128114848</v>
      </c>
    </row>
    <row r="62" spans="1:39" x14ac:dyDescent="0.45">
      <c r="A62" s="6" t="s">
        <v>36</v>
      </c>
      <c r="B62" s="6">
        <v>0.20330000000000001</v>
      </c>
      <c r="C62" s="6"/>
      <c r="D62" s="6" t="s">
        <v>36</v>
      </c>
      <c r="E62" s="6">
        <v>2.4361910923846644</v>
      </c>
      <c r="F62" s="6"/>
      <c r="G62" s="6" t="s">
        <v>1</v>
      </c>
      <c r="H62" s="6">
        <v>10.579001434113323</v>
      </c>
    </row>
    <row r="63" spans="1:39" x14ac:dyDescent="0.45">
      <c r="A63" s="6" t="s">
        <v>76</v>
      </c>
      <c r="B63" s="6">
        <v>0.22140000000000001</v>
      </c>
      <c r="C63" s="6"/>
      <c r="D63" s="6" t="s">
        <v>59</v>
      </c>
      <c r="E63" s="6">
        <v>2.669982831664838</v>
      </c>
      <c r="F63" s="6"/>
      <c r="G63" s="6" t="s">
        <v>12</v>
      </c>
      <c r="H63" s="6">
        <v>10.811776900434324</v>
      </c>
    </row>
    <row r="64" spans="1:39" x14ac:dyDescent="0.45">
      <c r="A64" s="6" t="s">
        <v>2</v>
      </c>
      <c r="B64" s="6">
        <v>0.245</v>
      </c>
      <c r="C64" s="6"/>
      <c r="D64" s="6" t="s">
        <v>2</v>
      </c>
      <c r="E64" s="6">
        <v>2.7887634841513034</v>
      </c>
      <c r="F64" s="6"/>
      <c r="G64" s="6" t="s">
        <v>2</v>
      </c>
      <c r="H64" s="6">
        <v>11.5704951830513</v>
      </c>
    </row>
    <row r="65" spans="1:8" x14ac:dyDescent="0.45">
      <c r="A65" s="6" t="s">
        <v>24</v>
      </c>
      <c r="B65" s="6">
        <v>0.30590000000000001</v>
      </c>
      <c r="C65" s="6"/>
      <c r="D65" s="6" t="s">
        <v>16</v>
      </c>
      <c r="E65" s="6">
        <v>3.2670635095311531</v>
      </c>
      <c r="F65" s="6"/>
      <c r="G65" s="6" t="s">
        <v>16</v>
      </c>
      <c r="H65" s="6">
        <v>11.849239012281259</v>
      </c>
    </row>
    <row r="66" spans="1:8" x14ac:dyDescent="0.45">
      <c r="A66" s="6" t="s">
        <v>16</v>
      </c>
      <c r="B66" s="6">
        <v>0.36120000000000002</v>
      </c>
      <c r="C66" s="6"/>
      <c r="D66" s="6" t="s">
        <v>71</v>
      </c>
      <c r="E66" s="6">
        <v>3.4865211751107288</v>
      </c>
      <c r="F66" s="6"/>
      <c r="G66" s="6" t="s">
        <v>3</v>
      </c>
      <c r="H66" s="6">
        <v>16.57754160221824</v>
      </c>
    </row>
    <row r="67" spans="1:8" x14ac:dyDescent="0.45">
      <c r="A67" s="6" t="s">
        <v>3</v>
      </c>
      <c r="B67" s="6">
        <v>0.38600000000000001</v>
      </c>
      <c r="C67" s="6"/>
      <c r="D67" s="6" t="s">
        <v>3</v>
      </c>
      <c r="E67" s="6">
        <v>4.1381508474458109</v>
      </c>
      <c r="F67" s="6"/>
      <c r="G67" s="6" t="s">
        <v>24</v>
      </c>
      <c r="H67" s="6">
        <v>19.817834916927318</v>
      </c>
    </row>
    <row r="68" spans="1:8" x14ac:dyDescent="0.45">
      <c r="A68" s="6" t="s">
        <v>71</v>
      </c>
      <c r="B68" s="6">
        <v>0.58740000000000003</v>
      </c>
      <c r="C68" s="6"/>
      <c r="D68" s="6" t="s">
        <v>11</v>
      </c>
      <c r="E68" s="6">
        <v>4.1644769080426913</v>
      </c>
      <c r="F68" s="6"/>
      <c r="G68" s="6" t="s">
        <v>59</v>
      </c>
      <c r="H68" s="6">
        <v>20.466981504786911</v>
      </c>
    </row>
    <row r="69" spans="1:8" x14ac:dyDescent="0.45">
      <c r="A69" s="6" t="s">
        <v>77</v>
      </c>
      <c r="B69" s="6">
        <v>0.60399999999999998</v>
      </c>
      <c r="C69" s="6"/>
      <c r="D69" s="6" t="s">
        <v>24</v>
      </c>
      <c r="E69" s="6">
        <v>4.2505196374318324</v>
      </c>
      <c r="F69" s="6"/>
      <c r="G69" s="6" t="s">
        <v>11</v>
      </c>
      <c r="H69" s="6">
        <v>55.118723568032429</v>
      </c>
    </row>
    <row r="70" spans="1:8" x14ac:dyDescent="0.45">
      <c r="A70" s="6" t="s">
        <v>37</v>
      </c>
      <c r="B70" s="6">
        <v>1.343</v>
      </c>
      <c r="C70" s="6"/>
      <c r="D70" s="6" t="s">
        <v>77</v>
      </c>
      <c r="E70" s="6">
        <v>11.770556290303324</v>
      </c>
      <c r="F70" s="6"/>
      <c r="G70" s="6" t="s">
        <v>77</v>
      </c>
      <c r="H70" s="6">
        <v>66.888474908997821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7840-777C-4DFF-AE73-ECC425C6D50F}">
  <dimension ref="A1:I70"/>
  <sheetViews>
    <sheetView workbookViewId="0">
      <selection activeCell="I3" sqref="I3"/>
    </sheetView>
  </sheetViews>
  <sheetFormatPr defaultRowHeight="14.25" x14ac:dyDescent="0.45"/>
  <cols>
    <col min="1" max="1" width="13.59765625" style="7" customWidth="1"/>
    <col min="4" max="4" width="13.53125" style="7" customWidth="1"/>
    <col min="7" max="7" width="13.265625" style="7" customWidth="1"/>
  </cols>
  <sheetData>
    <row r="1" spans="1:9" x14ac:dyDescent="0.45">
      <c r="A1" t="s">
        <v>72</v>
      </c>
      <c r="D1"/>
      <c r="G1"/>
    </row>
    <row r="2" spans="1:9" x14ac:dyDescent="0.45">
      <c r="A2" s="6" t="s">
        <v>48</v>
      </c>
      <c r="B2" s="6" t="s">
        <v>45</v>
      </c>
      <c r="C2" s="6"/>
      <c r="D2" s="6" t="s">
        <v>48</v>
      </c>
      <c r="E2" s="6" t="s">
        <v>44</v>
      </c>
      <c r="F2" s="6"/>
      <c r="G2" s="6" t="s">
        <v>48</v>
      </c>
      <c r="H2" s="6" t="s">
        <v>43</v>
      </c>
    </row>
    <row r="3" spans="1:9" x14ac:dyDescent="0.45">
      <c r="A3" s="9" t="s">
        <v>75</v>
      </c>
      <c r="B3" s="9">
        <v>-0.61947368421052629</v>
      </c>
      <c r="C3" s="9"/>
      <c r="D3" s="9" t="s">
        <v>75</v>
      </c>
      <c r="E3" s="9">
        <v>-0.70792215568862271</v>
      </c>
      <c r="F3" s="9"/>
      <c r="G3" s="9" t="s">
        <v>75</v>
      </c>
      <c r="H3" s="9">
        <v>-0.54248975027953783</v>
      </c>
      <c r="I3" s="10" t="s">
        <v>78</v>
      </c>
    </row>
    <row r="4" spans="1:9" x14ac:dyDescent="0.45">
      <c r="A4" s="6" t="s">
        <v>23</v>
      </c>
      <c r="B4" s="6">
        <v>-0.56336842105263152</v>
      </c>
      <c r="C4" s="6"/>
      <c r="D4" s="6" t="s">
        <v>8</v>
      </c>
      <c r="E4" s="6">
        <v>-0.68623171261369709</v>
      </c>
      <c r="F4" s="6"/>
      <c r="G4" s="6" t="s">
        <v>8</v>
      </c>
      <c r="H4" s="6">
        <v>-0.53738671982479291</v>
      </c>
    </row>
    <row r="5" spans="1:9" x14ac:dyDescent="0.45">
      <c r="A5" s="6" t="s">
        <v>54</v>
      </c>
      <c r="B5" s="6">
        <v>-0.56221052631578949</v>
      </c>
      <c r="C5" s="6"/>
      <c r="D5" s="6" t="s">
        <v>9</v>
      </c>
      <c r="E5" s="6">
        <v>-0.67767236503965933</v>
      </c>
      <c r="F5" s="6"/>
      <c r="G5" s="6" t="s">
        <v>9</v>
      </c>
      <c r="H5" s="6">
        <v>-0.5347454823150265</v>
      </c>
    </row>
    <row r="6" spans="1:9" x14ac:dyDescent="0.45">
      <c r="A6" s="6" t="s">
        <v>53</v>
      </c>
      <c r="B6" s="6">
        <v>-0.55668421052631578</v>
      </c>
      <c r="C6" s="6"/>
      <c r="D6" s="6" t="s">
        <v>54</v>
      </c>
      <c r="E6" s="6">
        <v>-0.65998363207222188</v>
      </c>
      <c r="F6" s="6"/>
      <c r="G6" s="6" t="s">
        <v>6</v>
      </c>
      <c r="H6" s="6">
        <v>-0.5289869340072425</v>
      </c>
    </row>
    <row r="7" spans="1:9" x14ac:dyDescent="0.45">
      <c r="A7" s="6" t="s">
        <v>18</v>
      </c>
      <c r="B7" s="6">
        <v>-0.54621052631578948</v>
      </c>
      <c r="C7" s="6"/>
      <c r="D7" s="6" t="s">
        <v>6</v>
      </c>
      <c r="E7" s="6">
        <v>-0.65501851107125919</v>
      </c>
      <c r="F7" s="6"/>
      <c r="G7" s="6" t="s">
        <v>54</v>
      </c>
      <c r="H7" s="6">
        <v>-0.51851178975076972</v>
      </c>
    </row>
    <row r="8" spans="1:9" x14ac:dyDescent="0.45">
      <c r="A8" s="6" t="s">
        <v>56</v>
      </c>
      <c r="B8" s="6">
        <v>-0.52573684210526317</v>
      </c>
      <c r="C8" s="6"/>
      <c r="D8" s="6" t="s">
        <v>30</v>
      </c>
      <c r="E8" s="6">
        <v>-0.63247965078760759</v>
      </c>
      <c r="F8" s="6"/>
      <c r="G8" s="6" t="s">
        <v>33</v>
      </c>
      <c r="H8" s="6">
        <v>-0.51569899366256244</v>
      </c>
    </row>
    <row r="9" spans="1:9" x14ac:dyDescent="0.45">
      <c r="A9" s="6" t="s">
        <v>8</v>
      </c>
      <c r="B9" s="6">
        <v>-0.5254210526315789</v>
      </c>
      <c r="C9" s="6"/>
      <c r="D9" s="6" t="s">
        <v>33</v>
      </c>
      <c r="E9" s="6">
        <v>-0.62251017527550989</v>
      </c>
      <c r="F9" s="6"/>
      <c r="G9" s="6" t="s">
        <v>30</v>
      </c>
      <c r="H9" s="6">
        <v>-0.50635664941393155</v>
      </c>
    </row>
    <row r="10" spans="1:9" x14ac:dyDescent="0.45">
      <c r="A10" s="6" t="s">
        <v>30</v>
      </c>
      <c r="B10" s="6">
        <v>-0.5224210526315789</v>
      </c>
      <c r="C10" s="6"/>
      <c r="D10" s="6" t="s">
        <v>73</v>
      </c>
      <c r="E10" s="6">
        <v>-0.6163560158401068</v>
      </c>
      <c r="F10" s="6"/>
      <c r="G10" s="6" t="s">
        <v>73</v>
      </c>
      <c r="H10" s="6">
        <v>-0.4976038815828619</v>
      </c>
    </row>
    <row r="11" spans="1:9" x14ac:dyDescent="0.45">
      <c r="A11" s="6" t="s">
        <v>73</v>
      </c>
      <c r="B11" s="6">
        <v>-0.50626315789473686</v>
      </c>
      <c r="C11" s="6"/>
      <c r="D11" s="6" t="s">
        <v>56</v>
      </c>
      <c r="E11" s="6">
        <v>-0.60507599710135507</v>
      </c>
      <c r="F11" s="6"/>
      <c r="G11" s="6" t="s">
        <v>32</v>
      </c>
      <c r="H11" s="6">
        <v>-0.48824780107938037</v>
      </c>
    </row>
    <row r="12" spans="1:9" x14ac:dyDescent="0.45">
      <c r="A12" s="6" t="s">
        <v>9</v>
      </c>
      <c r="B12" s="6">
        <v>-0.50594736842105259</v>
      </c>
      <c r="C12" s="6"/>
      <c r="D12" s="6" t="s">
        <v>53</v>
      </c>
      <c r="E12" s="6">
        <v>-0.57687467501530554</v>
      </c>
      <c r="F12" s="6"/>
      <c r="G12" s="6" t="s">
        <v>34</v>
      </c>
      <c r="H12" s="6">
        <v>-0.48450285229276202</v>
      </c>
    </row>
    <row r="13" spans="1:9" x14ac:dyDescent="0.45">
      <c r="A13" s="6" t="s">
        <v>25</v>
      </c>
      <c r="B13" s="6">
        <v>-0.4708421052631579</v>
      </c>
      <c r="C13" s="6"/>
      <c r="D13" s="6" t="s">
        <v>62</v>
      </c>
      <c r="E13" s="6">
        <v>-0.56982947861207234</v>
      </c>
      <c r="F13" s="6"/>
      <c r="G13" s="6" t="s">
        <v>56</v>
      </c>
      <c r="H13" s="6">
        <v>-0.48222841620655837</v>
      </c>
    </row>
    <row r="14" spans="1:9" x14ac:dyDescent="0.45">
      <c r="A14" s="6" t="s">
        <v>4</v>
      </c>
      <c r="B14" s="6">
        <v>-0.47015789473684205</v>
      </c>
      <c r="C14" s="6"/>
      <c r="D14" s="6" t="s">
        <v>18</v>
      </c>
      <c r="E14" s="6">
        <v>-0.55529476574583725</v>
      </c>
      <c r="F14" s="6"/>
      <c r="G14" s="6" t="s">
        <v>62</v>
      </c>
      <c r="H14" s="6">
        <v>-0.48174777609044395</v>
      </c>
    </row>
    <row r="15" spans="1:9" x14ac:dyDescent="0.45">
      <c r="A15" s="6" t="s">
        <v>57</v>
      </c>
      <c r="B15" s="6">
        <v>-0.44363157894736843</v>
      </c>
      <c r="C15" s="6"/>
      <c r="D15" s="6" t="s">
        <v>34</v>
      </c>
      <c r="E15" s="6">
        <v>-0.55024176548045878</v>
      </c>
      <c r="F15" s="6"/>
      <c r="G15" s="6" t="s">
        <v>7</v>
      </c>
      <c r="H15" s="6">
        <v>-0.47360096087827064</v>
      </c>
    </row>
    <row r="16" spans="1:9" x14ac:dyDescent="0.45">
      <c r="A16" s="6" t="s">
        <v>5</v>
      </c>
      <c r="B16" s="6">
        <v>-0.43147368421052629</v>
      </c>
      <c r="C16" s="6"/>
      <c r="D16" s="6" t="s">
        <v>32</v>
      </c>
      <c r="E16" s="6">
        <v>-0.54608891162223838</v>
      </c>
      <c r="F16" s="6"/>
      <c r="G16" s="6" t="s">
        <v>26</v>
      </c>
      <c r="H16" s="6">
        <v>-0.45828634255498779</v>
      </c>
    </row>
    <row r="17" spans="1:8" x14ac:dyDescent="0.45">
      <c r="A17" s="6" t="s">
        <v>6</v>
      </c>
      <c r="B17" s="6">
        <v>-0.41989473684210521</v>
      </c>
      <c r="C17" s="6"/>
      <c r="D17" s="6" t="s">
        <v>23</v>
      </c>
      <c r="E17" s="6">
        <v>-0.52281797458773771</v>
      </c>
      <c r="F17" s="6"/>
      <c r="G17" s="6" t="s">
        <v>51</v>
      </c>
      <c r="H17" s="6">
        <v>-0.45203263116692632</v>
      </c>
    </row>
    <row r="18" spans="1:8" x14ac:dyDescent="0.45">
      <c r="A18" s="6" t="s">
        <v>21</v>
      </c>
      <c r="B18" s="6">
        <v>-0.41826315789473684</v>
      </c>
      <c r="C18" s="6"/>
      <c r="D18" s="6" t="s">
        <v>4</v>
      </c>
      <c r="E18" s="6">
        <v>-0.5190742065592312</v>
      </c>
      <c r="F18" s="6"/>
      <c r="G18" s="6" t="s">
        <v>20</v>
      </c>
      <c r="H18" s="6">
        <v>-0.43952767524741265</v>
      </c>
    </row>
    <row r="19" spans="1:8" x14ac:dyDescent="0.45">
      <c r="A19" s="6" t="s">
        <v>61</v>
      </c>
      <c r="B19" s="6">
        <v>-0.41663157894736846</v>
      </c>
      <c r="C19" s="6"/>
      <c r="D19" s="6" t="s">
        <v>7</v>
      </c>
      <c r="E19" s="6">
        <v>-0.50090607752188765</v>
      </c>
      <c r="F19" s="6"/>
      <c r="G19" s="6" t="s">
        <v>53</v>
      </c>
      <c r="H19" s="6">
        <v>-0.43063395196260051</v>
      </c>
    </row>
    <row r="20" spans="1:8" x14ac:dyDescent="0.45">
      <c r="A20" s="6" t="s">
        <v>0</v>
      </c>
      <c r="B20" s="6">
        <v>-0.41594736842105257</v>
      </c>
      <c r="C20" s="6"/>
      <c r="D20" s="6" t="s">
        <v>20</v>
      </c>
      <c r="E20" s="6">
        <v>-0.49365150188507662</v>
      </c>
      <c r="F20" s="6"/>
      <c r="G20" s="6" t="s">
        <v>4</v>
      </c>
      <c r="H20" s="6">
        <v>-0.42224215083456396</v>
      </c>
    </row>
    <row r="21" spans="1:8" x14ac:dyDescent="0.45">
      <c r="A21" s="6" t="s">
        <v>62</v>
      </c>
      <c r="B21" s="6">
        <v>-0.41400000000000003</v>
      </c>
      <c r="C21" s="6"/>
      <c r="D21" s="6" t="s">
        <v>26</v>
      </c>
      <c r="E21" s="6">
        <v>-0.49076358486669308</v>
      </c>
      <c r="F21" s="6"/>
      <c r="G21" s="6" t="s">
        <v>18</v>
      </c>
      <c r="H21" s="6">
        <v>-0.41235382447703262</v>
      </c>
    </row>
    <row r="22" spans="1:8" x14ac:dyDescent="0.45">
      <c r="A22" s="6" t="s">
        <v>17</v>
      </c>
      <c r="B22" s="6">
        <v>-0.41273684210526312</v>
      </c>
      <c r="C22" s="6"/>
      <c r="D22" s="6" t="s">
        <v>51</v>
      </c>
      <c r="E22" s="6">
        <v>-0.48144088447168154</v>
      </c>
      <c r="F22" s="6"/>
      <c r="G22" s="6" t="s">
        <v>17</v>
      </c>
      <c r="H22" s="6">
        <v>-0.40452098619847898</v>
      </c>
    </row>
    <row r="23" spans="1:8" x14ac:dyDescent="0.45">
      <c r="A23" s="6" t="s">
        <v>49</v>
      </c>
      <c r="B23" s="6">
        <v>-0.40794736842105261</v>
      </c>
      <c r="C23" s="6"/>
      <c r="D23" s="6" t="s">
        <v>17</v>
      </c>
      <c r="E23" s="6">
        <v>-0.4756816437832736</v>
      </c>
      <c r="F23" s="6"/>
      <c r="G23" s="6" t="s">
        <v>49</v>
      </c>
      <c r="H23" s="6">
        <v>-0.40358135946319357</v>
      </c>
    </row>
    <row r="24" spans="1:8" x14ac:dyDescent="0.45">
      <c r="A24" s="6" t="s">
        <v>22</v>
      </c>
      <c r="B24" s="6">
        <v>-0.40515789473684205</v>
      </c>
      <c r="C24" s="6"/>
      <c r="D24" s="6" t="s">
        <v>49</v>
      </c>
      <c r="E24" s="6">
        <v>-0.47270502716380186</v>
      </c>
      <c r="F24" s="6"/>
      <c r="G24" s="6" t="s">
        <v>14</v>
      </c>
      <c r="H24" s="6">
        <v>-0.39822843379840472</v>
      </c>
    </row>
    <row r="25" spans="1:8" x14ac:dyDescent="0.45">
      <c r="A25" s="6" t="s">
        <v>65</v>
      </c>
      <c r="B25" s="6">
        <v>-0.39536842105263154</v>
      </c>
      <c r="C25" s="6"/>
      <c r="D25" s="6" t="s">
        <v>57</v>
      </c>
      <c r="E25" s="6">
        <v>-0.46924810908819675</v>
      </c>
      <c r="F25" s="6"/>
      <c r="G25" s="6" t="s">
        <v>17</v>
      </c>
      <c r="H25" s="6">
        <v>-0.3974307497974891</v>
      </c>
    </row>
    <row r="26" spans="1:8" x14ac:dyDescent="0.45">
      <c r="A26" s="6" t="s">
        <v>33</v>
      </c>
      <c r="B26" s="6">
        <v>-0.39294736842105266</v>
      </c>
      <c r="C26" s="6"/>
      <c r="D26" s="6" t="s">
        <v>61</v>
      </c>
      <c r="E26" s="6">
        <v>-0.44331568049152797</v>
      </c>
      <c r="F26" s="6"/>
      <c r="G26" s="6" t="s">
        <v>57</v>
      </c>
      <c r="H26" s="6">
        <v>-0.38410413543414118</v>
      </c>
    </row>
    <row r="27" spans="1:8" x14ac:dyDescent="0.45">
      <c r="A27" s="6" t="s">
        <v>63</v>
      </c>
      <c r="B27" s="6">
        <v>-0.38652631578947372</v>
      </c>
      <c r="C27" s="6"/>
      <c r="D27" s="6" t="s">
        <v>21</v>
      </c>
      <c r="E27" s="6">
        <v>-0.42480954213475358</v>
      </c>
      <c r="F27" s="6"/>
      <c r="G27" s="6" t="s">
        <v>61</v>
      </c>
      <c r="H27" s="6">
        <v>-0.37092619785567632</v>
      </c>
    </row>
    <row r="28" spans="1:8" x14ac:dyDescent="0.45">
      <c r="A28" s="6" t="s">
        <v>66</v>
      </c>
      <c r="B28" s="6">
        <v>-0.36763157894736842</v>
      </c>
      <c r="C28" s="6"/>
      <c r="D28" s="6" t="s">
        <v>65</v>
      </c>
      <c r="E28" s="6">
        <v>-0.41253787099047434</v>
      </c>
      <c r="F28" s="6"/>
      <c r="G28" s="6" t="s">
        <v>28</v>
      </c>
      <c r="H28" s="6">
        <v>-0.36041933904024537</v>
      </c>
    </row>
    <row r="29" spans="1:8" x14ac:dyDescent="0.45">
      <c r="A29" s="6" t="s">
        <v>67</v>
      </c>
      <c r="B29" s="6">
        <v>-0.36763157894736842</v>
      </c>
      <c r="C29" s="6"/>
      <c r="D29" s="6" t="s">
        <v>17</v>
      </c>
      <c r="E29" s="6">
        <v>-0.40500545424855722</v>
      </c>
      <c r="F29" s="6"/>
      <c r="G29" s="6" t="s">
        <v>13</v>
      </c>
      <c r="H29" s="6">
        <v>-0.35966837383368988</v>
      </c>
    </row>
    <row r="30" spans="1:8" x14ac:dyDescent="0.45">
      <c r="A30" s="6" t="s">
        <v>11</v>
      </c>
      <c r="B30" s="6">
        <v>-0.35436842105263155</v>
      </c>
      <c r="C30" s="6"/>
      <c r="D30" s="6" t="s">
        <v>63</v>
      </c>
      <c r="E30" s="6">
        <v>-0.40035095031173712</v>
      </c>
      <c r="F30" s="6"/>
      <c r="G30" s="6" t="s">
        <v>21</v>
      </c>
      <c r="H30" s="6">
        <v>-0.35061773999226226</v>
      </c>
    </row>
    <row r="31" spans="1:8" x14ac:dyDescent="0.45">
      <c r="A31" s="6" t="s">
        <v>20</v>
      </c>
      <c r="B31" s="6">
        <v>-0.34536842105263155</v>
      </c>
      <c r="C31" s="6"/>
      <c r="D31" s="6" t="s">
        <v>5</v>
      </c>
      <c r="E31" s="6">
        <v>-0.40031059389178686</v>
      </c>
      <c r="F31" s="6"/>
      <c r="G31" s="6" t="s">
        <v>65</v>
      </c>
      <c r="H31" s="6">
        <v>-0.34980804005691951</v>
      </c>
    </row>
    <row r="32" spans="1:8" x14ac:dyDescent="0.45">
      <c r="A32" s="6" t="s">
        <v>60</v>
      </c>
      <c r="B32" s="6">
        <v>-0.33973684210526311</v>
      </c>
      <c r="C32" s="6"/>
      <c r="D32" s="6" t="s">
        <v>14</v>
      </c>
      <c r="E32" s="6">
        <v>-0.38834789024907512</v>
      </c>
      <c r="F32" s="6"/>
      <c r="G32" s="6" t="s">
        <v>63</v>
      </c>
      <c r="H32" s="6">
        <v>-0.34165491657559188</v>
      </c>
    </row>
    <row r="33" spans="1:8" x14ac:dyDescent="0.45">
      <c r="A33" s="6" t="s">
        <v>50</v>
      </c>
      <c r="B33" s="6">
        <v>-0.33757894736842109</v>
      </c>
      <c r="C33" s="6"/>
      <c r="D33" s="6" t="s">
        <v>28</v>
      </c>
      <c r="E33" s="6">
        <v>-0.38452568410993637</v>
      </c>
      <c r="F33" s="6"/>
      <c r="G33" s="6" t="s">
        <v>29</v>
      </c>
      <c r="H33" s="6">
        <v>-0.33844511691183032</v>
      </c>
    </row>
    <row r="34" spans="1:8" x14ac:dyDescent="0.45">
      <c r="A34" s="6" t="s">
        <v>28</v>
      </c>
      <c r="B34" s="6">
        <v>-0.30389473684210527</v>
      </c>
      <c r="C34" s="6"/>
      <c r="D34" s="6" t="s">
        <v>0</v>
      </c>
      <c r="E34" s="6">
        <v>-0.36275044631511938</v>
      </c>
      <c r="F34" s="6"/>
      <c r="G34" s="6" t="s">
        <v>23</v>
      </c>
      <c r="H34" s="6">
        <v>-0.33595537005375303</v>
      </c>
    </row>
    <row r="35" spans="1:8" x14ac:dyDescent="0.45">
      <c r="A35" s="6" t="s">
        <v>34</v>
      </c>
      <c r="B35" s="6">
        <v>-0.30084210526315791</v>
      </c>
      <c r="C35" s="6"/>
      <c r="D35" s="6" t="s">
        <v>13</v>
      </c>
      <c r="E35" s="6">
        <v>-0.34308836054588143</v>
      </c>
      <c r="F35" s="6"/>
      <c r="G35" s="6" t="s">
        <v>5</v>
      </c>
      <c r="H35" s="6">
        <v>-0.31477243367906593</v>
      </c>
    </row>
    <row r="36" spans="1:8" x14ac:dyDescent="0.45">
      <c r="A36" s="6" t="s">
        <v>58</v>
      </c>
      <c r="B36" s="6">
        <v>-0.28015789473684211</v>
      </c>
      <c r="C36" s="6"/>
      <c r="D36" s="6" t="s">
        <v>22</v>
      </c>
      <c r="E36" s="6">
        <v>-0.33203717329878968</v>
      </c>
      <c r="F36" s="6"/>
      <c r="G36" s="6" t="s">
        <v>15</v>
      </c>
      <c r="H36" s="6">
        <v>-0.29902988280316295</v>
      </c>
    </row>
    <row r="37" spans="1:8" x14ac:dyDescent="0.45">
      <c r="A37" s="6" t="s">
        <v>4</v>
      </c>
      <c r="B37" s="6">
        <v>-0.2774210526315789</v>
      </c>
      <c r="C37" s="6"/>
      <c r="D37" s="6" t="s">
        <v>15</v>
      </c>
      <c r="E37" s="6">
        <v>-0.28792608133342068</v>
      </c>
      <c r="F37" s="6"/>
      <c r="G37" s="6" t="s">
        <v>55</v>
      </c>
      <c r="H37" s="6">
        <v>-0.29487834151288933</v>
      </c>
    </row>
    <row r="38" spans="1:8" x14ac:dyDescent="0.45">
      <c r="A38" s="6" t="s">
        <v>10</v>
      </c>
      <c r="B38" s="6">
        <v>-0.26910526315789468</v>
      </c>
      <c r="C38" s="6"/>
      <c r="D38" s="6" t="s">
        <v>29</v>
      </c>
      <c r="E38" s="6">
        <v>-0.28043752423663354</v>
      </c>
      <c r="F38" s="6"/>
      <c r="G38" s="6" t="s">
        <v>37</v>
      </c>
      <c r="H38" s="6">
        <v>-0.29291397414010051</v>
      </c>
    </row>
    <row r="39" spans="1:8" x14ac:dyDescent="0.45">
      <c r="A39" s="6" t="s">
        <v>32</v>
      </c>
      <c r="B39" s="6">
        <v>-0.23626315789473684</v>
      </c>
      <c r="C39" s="6"/>
      <c r="D39" s="6" t="s">
        <v>4</v>
      </c>
      <c r="E39" s="6">
        <v>-0.24833790778851197</v>
      </c>
      <c r="F39" s="6"/>
      <c r="G39" s="6" t="s">
        <v>31</v>
      </c>
      <c r="H39" s="6">
        <v>-0.29196004058034303</v>
      </c>
    </row>
    <row r="40" spans="1:8" x14ac:dyDescent="0.45">
      <c r="A40" s="6" t="s">
        <v>17</v>
      </c>
      <c r="B40" s="6">
        <v>-0.22968421052631577</v>
      </c>
      <c r="C40" s="6"/>
      <c r="D40" s="6" t="s">
        <v>52</v>
      </c>
      <c r="E40" s="6">
        <v>-0.24015174143456036</v>
      </c>
      <c r="F40" s="6"/>
      <c r="G40" s="6" t="s">
        <v>52</v>
      </c>
      <c r="H40" s="6">
        <v>-0.28518319266160647</v>
      </c>
    </row>
    <row r="41" spans="1:8" x14ac:dyDescent="0.45">
      <c r="A41" s="6" t="s">
        <v>15</v>
      </c>
      <c r="B41" s="6">
        <v>-0.22957894736842108</v>
      </c>
      <c r="C41" s="6"/>
      <c r="D41" s="6" t="s">
        <v>58</v>
      </c>
      <c r="E41" s="6">
        <v>-0.22698047076710787</v>
      </c>
      <c r="F41" s="6"/>
      <c r="G41" s="6" t="s">
        <v>0</v>
      </c>
      <c r="H41" s="6">
        <v>-0.2815516608572079</v>
      </c>
    </row>
    <row r="42" spans="1:8" x14ac:dyDescent="0.45">
      <c r="A42" s="6" t="s">
        <v>51</v>
      </c>
      <c r="B42" s="6">
        <v>-0.22205263157894739</v>
      </c>
      <c r="C42" s="6"/>
      <c r="D42" s="6" t="s">
        <v>66</v>
      </c>
      <c r="E42" s="6">
        <v>-0.20458084073415109</v>
      </c>
      <c r="F42" s="6"/>
      <c r="G42" s="6" t="s">
        <v>22</v>
      </c>
      <c r="H42" s="6">
        <v>-0.25269488725391498</v>
      </c>
    </row>
    <row r="43" spans="1:8" x14ac:dyDescent="0.45">
      <c r="A43" s="6" t="s">
        <v>26</v>
      </c>
      <c r="B43" s="6">
        <v>-0.21863157894736837</v>
      </c>
      <c r="C43" s="6"/>
      <c r="D43" s="6" t="s">
        <v>67</v>
      </c>
      <c r="E43" s="6">
        <v>-0.20458084073415109</v>
      </c>
      <c r="F43" s="6"/>
      <c r="G43" s="6" t="s">
        <v>19</v>
      </c>
      <c r="H43" s="6">
        <v>-0.24370609985396191</v>
      </c>
    </row>
    <row r="44" spans="1:8" x14ac:dyDescent="0.45">
      <c r="A44" s="6" t="s">
        <v>12</v>
      </c>
      <c r="B44" s="6">
        <v>-0.19310526315789472</v>
      </c>
      <c r="C44" s="6"/>
      <c r="D44" s="6" t="s">
        <v>55</v>
      </c>
      <c r="E44" s="6">
        <v>-0.19806090520952668</v>
      </c>
      <c r="F44" s="6"/>
      <c r="G44" s="6" t="s">
        <v>4</v>
      </c>
      <c r="H44" s="6">
        <v>-0.23931320571438103</v>
      </c>
    </row>
    <row r="45" spans="1:8" x14ac:dyDescent="0.45">
      <c r="A45" s="6" t="s">
        <v>64</v>
      </c>
      <c r="B45" s="6">
        <v>-0.19168421052631576</v>
      </c>
      <c r="C45" s="6"/>
      <c r="D45" s="6" t="s">
        <v>19</v>
      </c>
      <c r="E45" s="6">
        <v>-0.18689636917868291</v>
      </c>
      <c r="F45" s="6"/>
      <c r="G45" s="6" t="s">
        <v>35</v>
      </c>
      <c r="H45" s="6">
        <v>-0.22638015308176423</v>
      </c>
    </row>
    <row r="46" spans="1:8" x14ac:dyDescent="0.45">
      <c r="A46" s="6" t="s">
        <v>59</v>
      </c>
      <c r="B46" s="6">
        <v>-0.18715789473684208</v>
      </c>
      <c r="C46" s="6"/>
      <c r="D46" s="6" t="s">
        <v>31</v>
      </c>
      <c r="E46" s="6">
        <v>-0.15941273684239857</v>
      </c>
      <c r="F46" s="6"/>
      <c r="G46" s="6" t="s">
        <v>58</v>
      </c>
      <c r="H46" s="6">
        <v>-0.21514518294992857</v>
      </c>
    </row>
    <row r="47" spans="1:8" x14ac:dyDescent="0.45">
      <c r="A47" s="6" t="s">
        <v>13</v>
      </c>
      <c r="B47" s="6">
        <v>-0.18505263157894736</v>
      </c>
      <c r="C47" s="6"/>
      <c r="D47" s="6" t="s">
        <v>25</v>
      </c>
      <c r="E47" s="6">
        <v>-0.14751749992500046</v>
      </c>
      <c r="F47" s="6"/>
      <c r="G47" s="6" t="s">
        <v>69</v>
      </c>
      <c r="H47" s="6">
        <v>-0.21389404617546071</v>
      </c>
    </row>
    <row r="48" spans="1:8" x14ac:dyDescent="0.45">
      <c r="A48" s="6" t="s">
        <v>14</v>
      </c>
      <c r="B48" s="6">
        <v>-0.16457894736842102</v>
      </c>
      <c r="C48" s="6"/>
      <c r="D48" s="6" t="s">
        <v>35</v>
      </c>
      <c r="E48" s="6">
        <v>-0.14724473711798861</v>
      </c>
      <c r="F48" s="6"/>
      <c r="G48" s="6" t="s">
        <v>70</v>
      </c>
      <c r="H48" s="6">
        <v>-0.17287427007260373</v>
      </c>
    </row>
    <row r="49" spans="1:8" x14ac:dyDescent="0.45">
      <c r="A49" s="6" t="s">
        <v>52</v>
      </c>
      <c r="B49" s="6">
        <v>-0.14452631578947367</v>
      </c>
      <c r="C49" s="6"/>
      <c r="D49" s="6" t="s">
        <v>69</v>
      </c>
      <c r="E49" s="6">
        <v>-0.12628999583610717</v>
      </c>
      <c r="F49" s="6"/>
      <c r="G49" s="6" t="s">
        <v>64</v>
      </c>
      <c r="H49" s="6">
        <v>-0.14525519300424969</v>
      </c>
    </row>
    <row r="50" spans="1:8" x14ac:dyDescent="0.45">
      <c r="A50" s="6" t="s">
        <v>74</v>
      </c>
      <c r="B50" s="6">
        <v>-0.13668421052631574</v>
      </c>
      <c r="C50" s="6"/>
      <c r="D50" s="6" t="s">
        <v>64</v>
      </c>
      <c r="E50" s="6">
        <v>-0.1160124049166176</v>
      </c>
      <c r="F50" s="6"/>
      <c r="G50" s="6" t="s">
        <v>66</v>
      </c>
      <c r="H50" s="6">
        <v>-0.1236100539038044</v>
      </c>
    </row>
    <row r="51" spans="1:8" x14ac:dyDescent="0.45">
      <c r="A51" s="6" t="s">
        <v>19</v>
      </c>
      <c r="B51" s="6">
        <v>-0.12678947368421054</v>
      </c>
      <c r="C51" s="6"/>
      <c r="D51" s="6" t="s">
        <v>60</v>
      </c>
      <c r="E51" s="6">
        <v>-9.9351745918645568E-2</v>
      </c>
      <c r="F51" s="6"/>
      <c r="G51" s="6" t="s">
        <v>67</v>
      </c>
      <c r="H51" s="6">
        <v>-0.1236100539038044</v>
      </c>
    </row>
    <row r="52" spans="1:8" x14ac:dyDescent="0.45">
      <c r="A52" s="6" t="s">
        <v>7</v>
      </c>
      <c r="B52" s="6">
        <v>-0.12321052631578948</v>
      </c>
      <c r="C52" s="6"/>
      <c r="D52" s="6" t="s">
        <v>50</v>
      </c>
      <c r="E52" s="6">
        <v>-8.3313629669726566E-2</v>
      </c>
      <c r="F52" s="6"/>
      <c r="G52" s="6" t="s">
        <v>60</v>
      </c>
      <c r="H52" s="6">
        <v>-1.0280289990548227E-2</v>
      </c>
    </row>
    <row r="53" spans="1:8" x14ac:dyDescent="0.45">
      <c r="A53" s="6" t="s">
        <v>35</v>
      </c>
      <c r="B53" s="6">
        <v>-7.3684210526315783E-2</v>
      </c>
      <c r="C53" s="6"/>
      <c r="D53" s="6" t="s">
        <v>70</v>
      </c>
      <c r="E53" s="6">
        <v>7.420818023962758E-2</v>
      </c>
      <c r="F53" s="6"/>
      <c r="G53" s="6" t="s">
        <v>50</v>
      </c>
      <c r="H53" s="6">
        <v>9.6339770683103749E-3</v>
      </c>
    </row>
    <row r="54" spans="1:8" x14ac:dyDescent="0.45">
      <c r="A54" s="6" t="s">
        <v>29</v>
      </c>
      <c r="B54" s="6">
        <v>-6.6315789473684217E-2</v>
      </c>
      <c r="C54" s="6"/>
      <c r="D54" s="6" t="s">
        <v>10</v>
      </c>
      <c r="E54" s="6">
        <v>8.243900057386952E-2</v>
      </c>
      <c r="F54" s="6"/>
      <c r="G54" s="6" t="s">
        <v>76</v>
      </c>
      <c r="H54" s="6">
        <v>9.2177568475826713E-2</v>
      </c>
    </row>
    <row r="55" spans="1:8" x14ac:dyDescent="0.45">
      <c r="A55" s="6" t="s">
        <v>69</v>
      </c>
      <c r="B55" s="6">
        <v>-5.526315789473682E-2</v>
      </c>
      <c r="C55" s="6"/>
      <c r="D55" s="6" t="s">
        <v>74</v>
      </c>
      <c r="E55" s="6">
        <v>0.329335068399011</v>
      </c>
      <c r="F55" s="6"/>
      <c r="G55" s="6" t="s">
        <v>25</v>
      </c>
      <c r="H55" s="6">
        <v>0.13358857180709802</v>
      </c>
    </row>
    <row r="56" spans="1:8" x14ac:dyDescent="0.45">
      <c r="A56" s="6" t="s">
        <v>55</v>
      </c>
      <c r="B56" s="6">
        <v>2.1052631578947385E-2</v>
      </c>
      <c r="C56" s="6"/>
      <c r="D56" s="6" t="s">
        <v>12</v>
      </c>
      <c r="E56" s="6">
        <v>0.35551788976813931</v>
      </c>
      <c r="F56" s="6"/>
      <c r="G56" s="6" t="s">
        <v>27</v>
      </c>
      <c r="H56" s="6">
        <v>0.15463673329997354</v>
      </c>
    </row>
    <row r="57" spans="1:8" x14ac:dyDescent="0.45">
      <c r="A57" s="6" t="s">
        <v>1</v>
      </c>
      <c r="B57" s="6">
        <v>0.10578947368421056</v>
      </c>
      <c r="C57" s="6"/>
      <c r="D57" s="6" t="s">
        <v>76</v>
      </c>
      <c r="E57" s="6">
        <v>0.44360164940280344</v>
      </c>
      <c r="F57" s="6"/>
      <c r="G57" s="6" t="s">
        <v>10</v>
      </c>
      <c r="H57" s="6">
        <v>0.16351151568424027</v>
      </c>
    </row>
    <row r="58" spans="1:8" x14ac:dyDescent="0.45">
      <c r="A58" s="6" t="s">
        <v>31</v>
      </c>
      <c r="B58" s="6">
        <v>0.14578947368421052</v>
      </c>
      <c r="C58" s="6"/>
      <c r="D58" s="6" t="s">
        <v>27</v>
      </c>
      <c r="E58" s="6">
        <v>0.46034013594088796</v>
      </c>
      <c r="F58" s="6"/>
      <c r="G58" s="6" t="s">
        <v>68</v>
      </c>
      <c r="H58" s="6">
        <v>0.35786780379611344</v>
      </c>
    </row>
    <row r="59" spans="1:8" x14ac:dyDescent="0.45">
      <c r="A59" s="6" t="s">
        <v>68</v>
      </c>
      <c r="B59" s="6">
        <v>0.15684210526315787</v>
      </c>
      <c r="C59" s="6"/>
      <c r="D59" s="6" t="s">
        <v>68</v>
      </c>
      <c r="E59" s="6">
        <v>0.52797807235504046</v>
      </c>
      <c r="F59" s="6"/>
      <c r="G59" s="6" t="s">
        <v>74</v>
      </c>
      <c r="H59" s="6">
        <v>0.35800260929398359</v>
      </c>
    </row>
    <row r="60" spans="1:8" x14ac:dyDescent="0.45">
      <c r="A60" s="6" t="s">
        <v>70</v>
      </c>
      <c r="B60" s="6">
        <v>0.41</v>
      </c>
      <c r="C60" s="6"/>
      <c r="D60" s="6" t="s">
        <v>37</v>
      </c>
      <c r="E60" s="6">
        <v>0.53518378165622804</v>
      </c>
      <c r="F60" s="6"/>
      <c r="G60" s="6" t="s">
        <v>71</v>
      </c>
      <c r="H60" s="6">
        <v>0.37840835330321948</v>
      </c>
    </row>
    <row r="61" spans="1:8" x14ac:dyDescent="0.45">
      <c r="A61" s="6" t="s">
        <v>27</v>
      </c>
      <c r="B61" s="6">
        <v>0.4126315789473684</v>
      </c>
      <c r="C61" s="6"/>
      <c r="D61" s="6" t="s">
        <v>1</v>
      </c>
      <c r="E61" s="6">
        <v>0.56823605519543652</v>
      </c>
      <c r="F61" s="6"/>
      <c r="G61" s="6" t="s">
        <v>36</v>
      </c>
      <c r="H61" s="6">
        <v>0.42809580023433175</v>
      </c>
    </row>
    <row r="62" spans="1:8" x14ac:dyDescent="0.45">
      <c r="A62" s="6" t="s">
        <v>36</v>
      </c>
      <c r="B62" s="6">
        <v>0.45052631578947372</v>
      </c>
      <c r="C62" s="6"/>
      <c r="D62" s="6" t="s">
        <v>36</v>
      </c>
      <c r="E62" s="6">
        <v>0.75087490561955961</v>
      </c>
      <c r="F62" s="6"/>
      <c r="G62" s="6" t="s">
        <v>1</v>
      </c>
      <c r="H62" s="6">
        <v>0.44325395397999656</v>
      </c>
    </row>
    <row r="63" spans="1:8" x14ac:dyDescent="0.45">
      <c r="A63" s="6" t="s">
        <v>76</v>
      </c>
      <c r="B63" s="6">
        <v>0.5457894736842106</v>
      </c>
      <c r="C63" s="6"/>
      <c r="D63" s="6" t="s">
        <v>59</v>
      </c>
      <c r="E63" s="6">
        <v>0.8908699590807414</v>
      </c>
      <c r="F63" s="6"/>
      <c r="G63" s="6" t="s">
        <v>12</v>
      </c>
      <c r="H63" s="6">
        <v>0.46494380361855431</v>
      </c>
    </row>
    <row r="64" spans="1:8" x14ac:dyDescent="0.45">
      <c r="A64" s="6" t="s">
        <v>2</v>
      </c>
      <c r="B64" s="6">
        <v>0.66999999999999993</v>
      </c>
      <c r="C64" s="6"/>
      <c r="D64" s="6" t="s">
        <v>2</v>
      </c>
      <c r="E64" s="6">
        <v>0.96199609829419375</v>
      </c>
      <c r="F64" s="6"/>
      <c r="G64" s="6" t="s">
        <v>2</v>
      </c>
      <c r="H64" s="6">
        <v>0.53564062458547335</v>
      </c>
    </row>
    <row r="65" spans="1:8" x14ac:dyDescent="0.45">
      <c r="A65" s="6" t="s">
        <v>24</v>
      </c>
      <c r="B65" s="6">
        <v>0.9905263157894737</v>
      </c>
      <c r="C65" s="6"/>
      <c r="D65" s="6" t="s">
        <v>16</v>
      </c>
      <c r="E65" s="6">
        <v>1.248403299120451</v>
      </c>
      <c r="F65" s="6"/>
      <c r="G65" s="6" t="s">
        <v>16</v>
      </c>
      <c r="H65" s="6">
        <v>0.56161377304148896</v>
      </c>
    </row>
    <row r="66" spans="1:8" x14ac:dyDescent="0.45">
      <c r="A66" s="6" t="s">
        <v>16</v>
      </c>
      <c r="B66" s="6">
        <v>1.2815789473684212</v>
      </c>
      <c r="C66" s="6"/>
      <c r="D66" s="6" t="s">
        <v>71</v>
      </c>
      <c r="E66" s="6">
        <v>1.379815074916604</v>
      </c>
      <c r="F66" s="6"/>
      <c r="G66" s="6" t="s">
        <v>3</v>
      </c>
      <c r="H66" s="6">
        <v>1.0021935894724414</v>
      </c>
    </row>
    <row r="67" spans="1:8" x14ac:dyDescent="0.45">
      <c r="A67" s="6" t="s">
        <v>3</v>
      </c>
      <c r="B67" s="6">
        <v>1.4121052631578945</v>
      </c>
      <c r="C67" s="6"/>
      <c r="D67" s="6" t="s">
        <v>3</v>
      </c>
      <c r="E67" s="6">
        <v>1.7700124835004858</v>
      </c>
      <c r="F67" s="6"/>
      <c r="G67" s="6" t="s">
        <v>24</v>
      </c>
      <c r="H67" s="6">
        <v>1.3041217775742937</v>
      </c>
    </row>
    <row r="68" spans="1:8" x14ac:dyDescent="0.45">
      <c r="A68" s="6" t="s">
        <v>71</v>
      </c>
      <c r="B68" s="6">
        <v>2.4721052631578946</v>
      </c>
      <c r="C68" s="6"/>
      <c r="D68" s="6" t="s">
        <v>11</v>
      </c>
      <c r="E68" s="6">
        <v>1.7857765916423305</v>
      </c>
      <c r="F68" s="6"/>
      <c r="G68" s="6" t="s">
        <v>59</v>
      </c>
      <c r="H68" s="6">
        <v>1.3646087872518555</v>
      </c>
    </row>
    <row r="69" spans="1:8" x14ac:dyDescent="0.45">
      <c r="A69" s="6" t="s">
        <v>77</v>
      </c>
      <c r="B69" s="6">
        <v>2.5594736842105261</v>
      </c>
      <c r="C69" s="6"/>
      <c r="D69" s="6" t="s">
        <v>24</v>
      </c>
      <c r="E69" s="6">
        <v>1.8372991840909179</v>
      </c>
      <c r="F69" s="6"/>
      <c r="G69" s="6" t="s">
        <v>11</v>
      </c>
      <c r="H69" s="6">
        <v>4.5934330570287392</v>
      </c>
    </row>
    <row r="70" spans="1:8" x14ac:dyDescent="0.45">
      <c r="A70" t="s">
        <v>37</v>
      </c>
      <c r="B70">
        <v>6.4489473684210532</v>
      </c>
      <c r="D70" t="s">
        <v>77</v>
      </c>
      <c r="E70">
        <v>6.3403151438942054</v>
      </c>
      <c r="G70" t="s">
        <v>77</v>
      </c>
      <c r="H70">
        <v>5.6901299766117983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F326-94CF-45B8-AAAB-AEFB40B09B0D}">
  <dimension ref="A1:BS97"/>
  <sheetViews>
    <sheetView tabSelected="1" topLeftCell="AL1" zoomScale="80" zoomScaleNormal="80" workbookViewId="0">
      <selection activeCell="B15" sqref="B15"/>
    </sheetView>
  </sheetViews>
  <sheetFormatPr defaultRowHeight="14.25" x14ac:dyDescent="0.45"/>
  <cols>
    <col min="6" max="6" width="17.59765625" customWidth="1"/>
    <col min="9" max="9" width="17.265625" customWidth="1"/>
    <col min="12" max="12" width="17.19921875" customWidth="1"/>
    <col min="32" max="32" width="17.73046875" customWidth="1"/>
    <col min="33" max="33" width="8.73046875" customWidth="1"/>
    <col min="35" max="35" width="17.46484375" customWidth="1"/>
    <col min="38" max="38" width="17.33203125" customWidth="1"/>
  </cols>
  <sheetData>
    <row r="1" spans="1:71" x14ac:dyDescent="0.4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49</v>
      </c>
      <c r="AO1" s="2" t="s">
        <v>17</v>
      </c>
      <c r="AP1" s="2" t="s">
        <v>50</v>
      </c>
      <c r="AQ1" s="2" t="s">
        <v>51</v>
      </c>
      <c r="AR1" s="2" t="s">
        <v>52</v>
      </c>
      <c r="AS1" s="2" t="s">
        <v>53</v>
      </c>
      <c r="AT1" s="2" t="s">
        <v>54</v>
      </c>
      <c r="AU1" s="2" t="s">
        <v>4</v>
      </c>
      <c r="AV1" s="2" t="s">
        <v>55</v>
      </c>
      <c r="AW1" s="2" t="s">
        <v>56</v>
      </c>
      <c r="AX1" s="2" t="s">
        <v>57</v>
      </c>
      <c r="AY1" s="2" t="s">
        <v>58</v>
      </c>
      <c r="AZ1" s="2" t="s">
        <v>59</v>
      </c>
      <c r="BA1" s="2" t="s">
        <v>60</v>
      </c>
      <c r="BB1" s="2" t="s">
        <v>61</v>
      </c>
      <c r="BC1" s="2" t="s">
        <v>62</v>
      </c>
      <c r="BD1" s="2" t="s">
        <v>63</v>
      </c>
      <c r="BE1" s="2" t="s">
        <v>64</v>
      </c>
      <c r="BF1" s="2" t="s">
        <v>65</v>
      </c>
      <c r="BG1" s="2" t="s">
        <v>66</v>
      </c>
      <c r="BH1" s="2" t="s">
        <v>67</v>
      </c>
      <c r="BI1" s="2" t="s">
        <v>68</v>
      </c>
      <c r="BJ1" s="2" t="s">
        <v>69</v>
      </c>
      <c r="BK1" s="2" t="s">
        <v>70</v>
      </c>
      <c r="BL1" s="2" t="s">
        <v>71</v>
      </c>
      <c r="BM1" s="2" t="s">
        <v>73</v>
      </c>
      <c r="BN1" s="2" t="s">
        <v>74</v>
      </c>
      <c r="BO1" s="2" t="s">
        <v>75</v>
      </c>
      <c r="BP1" s="2" t="s">
        <v>76</v>
      </c>
      <c r="BQ1" s="2" t="s">
        <v>77</v>
      </c>
    </row>
    <row r="2" spans="1:71" x14ac:dyDescent="0.45">
      <c r="A2" s="3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 t="s">
        <v>78</v>
      </c>
      <c r="BP2" s="1"/>
      <c r="BQ2" s="1"/>
    </row>
    <row r="3" spans="1:71" x14ac:dyDescent="0.45">
      <c r="A3" s="3" t="s">
        <v>39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71" x14ac:dyDescent="0.45">
      <c r="A4" s="3" t="s">
        <v>40</v>
      </c>
      <c r="B4" s="1">
        <v>-1.413</v>
      </c>
      <c r="C4" s="1">
        <v>-0.86080000000000001</v>
      </c>
      <c r="D4" s="1">
        <v>-0.61080000000000001</v>
      </c>
      <c r="E4" s="1">
        <v>-0.41349999999999998</v>
      </c>
      <c r="F4" s="1">
        <v>-1.1870000000000001</v>
      </c>
      <c r="G4" s="1">
        <v>-1.4470000000000001</v>
      </c>
      <c r="H4" s="1">
        <v>-1.421</v>
      </c>
      <c r="I4" s="1">
        <v>-1.026</v>
      </c>
      <c r="J4" s="1">
        <v>-1.748</v>
      </c>
      <c r="K4" s="1">
        <v>-1.6659999999999999</v>
      </c>
      <c r="L4" s="1">
        <v>-1.177</v>
      </c>
      <c r="M4" s="1">
        <v>-1.298</v>
      </c>
      <c r="N4" s="1">
        <v>-1.091</v>
      </c>
      <c r="O4" s="1">
        <v>-1.083</v>
      </c>
      <c r="P4" s="1">
        <v>-1.0629999999999999</v>
      </c>
      <c r="Q4" s="1">
        <v>-1.1299999999999999</v>
      </c>
      <c r="R4" s="1">
        <v>-0.44230000000000003</v>
      </c>
      <c r="S4" s="1">
        <v>-1.1299999999999999</v>
      </c>
      <c r="T4" s="1">
        <v>-1.8560000000000001</v>
      </c>
      <c r="U4" s="1">
        <v>-1.0289999999999999</v>
      </c>
      <c r="V4" s="1">
        <v>-1.2829999999999999</v>
      </c>
      <c r="W4" s="1">
        <v>-1.4179999999999999</v>
      </c>
      <c r="X4" s="1">
        <v>-1.39</v>
      </c>
      <c r="Y4" s="1">
        <v>-1.972</v>
      </c>
      <c r="Z4" s="1">
        <v>-0.51439999999999997</v>
      </c>
      <c r="AA4" s="1">
        <v>-1.5489999999999999</v>
      </c>
      <c r="AB4" s="1">
        <v>-1.1180000000000001</v>
      </c>
      <c r="AC4" s="1">
        <v>-0.70760000000000001</v>
      </c>
      <c r="AD4" s="1">
        <v>-1.222</v>
      </c>
      <c r="AE4" s="1">
        <v>-0.97850000000000004</v>
      </c>
      <c r="AF4" s="1">
        <v>-1.734</v>
      </c>
      <c r="AG4" s="1">
        <v>-0.83760000000000001</v>
      </c>
      <c r="AH4" s="1">
        <v>-1.1379999999999999</v>
      </c>
      <c r="AI4" s="1">
        <v>-1.3660000000000001</v>
      </c>
      <c r="AJ4" s="1">
        <v>-1.218</v>
      </c>
      <c r="AK4" s="1">
        <v>-0.98419999999999996</v>
      </c>
      <c r="AL4" s="1">
        <v>-0.69199999999999995</v>
      </c>
      <c r="AM4" s="1">
        <v>0.12809999999999999</v>
      </c>
      <c r="AN4" s="1">
        <v>-1.3959999999999999</v>
      </c>
      <c r="AO4" s="1">
        <v>-1.4059999999999999</v>
      </c>
      <c r="AP4" s="1">
        <v>-1.2709999999999999</v>
      </c>
      <c r="AQ4" s="1">
        <v>-1.1220000000000001</v>
      </c>
      <c r="AR4" s="1">
        <v>-1.0449999999999999</v>
      </c>
      <c r="AS4" s="1">
        <v>-1.923</v>
      </c>
      <c r="AT4" s="1">
        <v>-1.964</v>
      </c>
      <c r="AU4" s="1">
        <v>-1.5469999999999999</v>
      </c>
      <c r="AV4" s="1">
        <v>-0.91479999999999995</v>
      </c>
      <c r="AW4" s="1">
        <v>-1.7490000000000001</v>
      </c>
      <c r="AX4" s="1">
        <v>-1.476</v>
      </c>
      <c r="AY4" s="1">
        <v>-1.1910000000000001</v>
      </c>
      <c r="AZ4" s="1">
        <v>-1.085</v>
      </c>
      <c r="BA4" s="1">
        <v>-1.274</v>
      </c>
      <c r="BB4" s="1">
        <v>-1.4139999999999999</v>
      </c>
      <c r="BC4" s="1">
        <v>-1.4079999999999999</v>
      </c>
      <c r="BD4" s="1">
        <v>-1.3540000000000001</v>
      </c>
      <c r="BE4" s="1">
        <v>-1.0900000000000001</v>
      </c>
      <c r="BF4" s="1">
        <v>-1.371</v>
      </c>
      <c r="BG4" s="1">
        <v>-1.32</v>
      </c>
      <c r="BH4" s="1">
        <v>-1.32</v>
      </c>
      <c r="BI4" s="1">
        <v>-0.83120000000000005</v>
      </c>
      <c r="BJ4" s="1">
        <v>-0.96960000000000002</v>
      </c>
      <c r="BK4" s="1">
        <v>-0.70860000000000001</v>
      </c>
      <c r="BL4" s="1">
        <v>-0.2311</v>
      </c>
      <c r="BM4" s="1">
        <v>-1.667</v>
      </c>
      <c r="BN4" s="1">
        <v>-1.0369999999999999</v>
      </c>
      <c r="BO4" s="1">
        <v>-3157430</v>
      </c>
      <c r="BP4" s="1">
        <v>-0.65490000000000004</v>
      </c>
      <c r="BQ4" s="1">
        <v>-0.219</v>
      </c>
    </row>
    <row r="5" spans="1:71" x14ac:dyDescent="0.45">
      <c r="A5" s="3" t="s">
        <v>41</v>
      </c>
      <c r="B5" s="1">
        <v>-0.5131</v>
      </c>
      <c r="C5" s="1">
        <v>-0.50619999999999998</v>
      </c>
      <c r="D5" s="1">
        <v>-0.56999999999999995</v>
      </c>
      <c r="E5" s="1">
        <v>-0.58440000000000003</v>
      </c>
      <c r="F5" s="1">
        <v>-0.5615</v>
      </c>
      <c r="G5" s="1">
        <v>-0.52</v>
      </c>
      <c r="H5" s="1">
        <v>-1.639</v>
      </c>
      <c r="I5" s="1">
        <v>-1.0669999999999999</v>
      </c>
      <c r="J5" s="1">
        <v>-1.962</v>
      </c>
      <c r="K5" s="1">
        <v>-1.629</v>
      </c>
      <c r="L5" s="1">
        <v>-0.46410000000000001</v>
      </c>
      <c r="M5" s="1">
        <v>-0.314</v>
      </c>
      <c r="N5" s="1">
        <v>-0.44900000000000001</v>
      </c>
      <c r="O5" s="1">
        <v>-0.69350000000000001</v>
      </c>
      <c r="P5" s="1">
        <v>-0.76149999999999995</v>
      </c>
      <c r="Q5" s="1">
        <v>-0.61670000000000003</v>
      </c>
      <c r="R5" s="1">
        <v>-0.62949999999999995</v>
      </c>
      <c r="S5" s="1">
        <v>-0.72150000000000003</v>
      </c>
      <c r="T5" s="1">
        <v>-0.4768</v>
      </c>
      <c r="U5" s="1">
        <v>-0.62180000000000002</v>
      </c>
      <c r="V5" s="1">
        <v>-0.71930000000000005</v>
      </c>
      <c r="W5" s="1">
        <v>-0.55120000000000002</v>
      </c>
      <c r="X5" s="1">
        <v>-0.50680000000000003</v>
      </c>
      <c r="Y5" s="1">
        <v>-0.41170000000000001</v>
      </c>
      <c r="Z5" s="1">
        <v>-0.52680000000000005</v>
      </c>
      <c r="AA5" s="1">
        <v>-0.39600000000000002</v>
      </c>
      <c r="AB5" s="1">
        <v>-0.88829999999999998</v>
      </c>
      <c r="AC5" s="1">
        <v>-0.60340000000000005</v>
      </c>
      <c r="AD5" s="1">
        <v>-0.63070000000000004</v>
      </c>
      <c r="AE5" s="1">
        <v>-0.72360000000000002</v>
      </c>
      <c r="AF5" s="1">
        <v>-0.72140000000000004</v>
      </c>
      <c r="AG5" s="1">
        <v>-0.75319999999999998</v>
      </c>
      <c r="AH5" s="1">
        <v>-1.0569999999999999</v>
      </c>
      <c r="AI5" s="1">
        <v>-1.157</v>
      </c>
      <c r="AJ5" s="1">
        <v>-0.94299999999999995</v>
      </c>
      <c r="AK5" s="1">
        <v>-0.63</v>
      </c>
      <c r="AL5" s="1">
        <v>-0.55820000000000003</v>
      </c>
      <c r="AM5" s="1">
        <v>-3.1829999999999998</v>
      </c>
      <c r="AN5" s="1">
        <v>-0.60809999999999997</v>
      </c>
      <c r="AO5" s="1">
        <v>-0.60540000000000005</v>
      </c>
      <c r="AP5" s="1">
        <v>-0.46689999999999998</v>
      </c>
      <c r="AQ5" s="1">
        <v>-0.86040000000000005</v>
      </c>
      <c r="AR5" s="1">
        <v>-0.64229999999999998</v>
      </c>
      <c r="AS5" s="1">
        <v>-0.47649999999999998</v>
      </c>
      <c r="AT5" s="1">
        <v>-0.6946</v>
      </c>
      <c r="AU5" s="1">
        <v>-0.5756</v>
      </c>
      <c r="AV5" s="1">
        <v>-0.71260000000000001</v>
      </c>
      <c r="AW5" s="1">
        <v>-0.61170000000000002</v>
      </c>
      <c r="AX5" s="1">
        <v>-0.55920000000000003</v>
      </c>
      <c r="AY5" s="1">
        <v>-0.54959999999999998</v>
      </c>
      <c r="AZ5" s="1">
        <v>-0.3982</v>
      </c>
      <c r="BA5" s="1">
        <v>-0.4698</v>
      </c>
      <c r="BB5" s="1">
        <v>-0.56830000000000003</v>
      </c>
      <c r="BC5" s="1">
        <v>-0.78049999999999997</v>
      </c>
      <c r="BD5" s="1">
        <v>-0.5655</v>
      </c>
      <c r="BE5" s="1">
        <v>-0.55489999999999995</v>
      </c>
      <c r="BF5" s="1">
        <v>-0.56589999999999996</v>
      </c>
      <c r="BG5" s="1">
        <v>-0.48370000000000002</v>
      </c>
      <c r="BH5" s="1">
        <v>-0.48370000000000002</v>
      </c>
      <c r="BI5" s="1">
        <v>-0.52539999999999998</v>
      </c>
      <c r="BJ5" s="1">
        <v>-0.629</v>
      </c>
      <c r="BK5" s="1">
        <v>-0.73009999999999997</v>
      </c>
      <c r="BL5" s="1">
        <v>-0.77839999999999998</v>
      </c>
      <c r="BM5" s="1">
        <v>-0.70679999999999998</v>
      </c>
      <c r="BN5" s="1">
        <v>-0.4718</v>
      </c>
      <c r="BO5" s="1">
        <v>1.097E-7</v>
      </c>
      <c r="BP5" s="1">
        <v>-0.64129999999999998</v>
      </c>
      <c r="BQ5" s="1">
        <v>-0.46679999999999999</v>
      </c>
    </row>
    <row r="6" spans="1:71" x14ac:dyDescent="0.45">
      <c r="A6" s="3" t="s">
        <v>42</v>
      </c>
      <c r="B6" s="1">
        <v>3.8670000000000003E-2</v>
      </c>
      <c r="C6" s="1">
        <v>0.13780000000000001</v>
      </c>
      <c r="D6" s="1">
        <v>0.245</v>
      </c>
      <c r="E6" s="1">
        <v>0.38600000000000001</v>
      </c>
      <c r="F6" s="1">
        <v>6.4990000000000006E-2</v>
      </c>
      <c r="G6" s="1">
        <v>3.5720000000000002E-2</v>
      </c>
      <c r="H6" s="1">
        <v>3.7920000000000002E-2</v>
      </c>
      <c r="I6" s="1">
        <v>9.4289999999999999E-2</v>
      </c>
      <c r="J6" s="1">
        <v>1.787E-2</v>
      </c>
      <c r="K6" s="1">
        <v>2.1569999999999999E-2</v>
      </c>
      <c r="L6" s="1">
        <v>6.6570000000000004E-2</v>
      </c>
      <c r="M6" s="1">
        <v>5.0369999999999998E-2</v>
      </c>
      <c r="N6" s="1">
        <v>8.1009999999999999E-2</v>
      </c>
      <c r="O6" s="1">
        <v>8.2540000000000002E-2</v>
      </c>
      <c r="P6" s="1">
        <v>8.6430000000000007E-2</v>
      </c>
      <c r="Q6" s="1">
        <v>7.4079999999999993E-2</v>
      </c>
      <c r="R6" s="1">
        <v>0.36120000000000002</v>
      </c>
      <c r="S6" s="1">
        <v>7.4060000000000001E-2</v>
      </c>
      <c r="T6" s="1">
        <v>1.392E-2</v>
      </c>
      <c r="U6" s="1">
        <v>9.3609999999999999E-2</v>
      </c>
      <c r="V6" s="1">
        <v>5.2080000000000001E-2</v>
      </c>
      <c r="W6" s="1">
        <v>3.823E-2</v>
      </c>
      <c r="X6" s="1">
        <v>4.0719999999999999E-2</v>
      </c>
      <c r="Y6" s="1">
        <v>1.0659999999999999E-2</v>
      </c>
      <c r="Z6" s="1">
        <v>0.30590000000000001</v>
      </c>
      <c r="AA6" s="1">
        <v>2.8240000000000001E-2</v>
      </c>
      <c r="AB6" s="1">
        <v>7.6160000000000005E-2</v>
      </c>
      <c r="AC6" s="1">
        <v>0.1961</v>
      </c>
      <c r="AD6" s="1">
        <v>5.9959999999999999E-2</v>
      </c>
      <c r="AE6" s="1">
        <v>0.1051</v>
      </c>
      <c r="AF6" s="1">
        <v>1.8440000000000002E-2</v>
      </c>
      <c r="AG6" s="1">
        <v>0.1454</v>
      </c>
      <c r="AH6" s="1">
        <v>7.281E-2</v>
      </c>
      <c r="AI6" s="1">
        <v>4.3040000000000002E-2</v>
      </c>
      <c r="AJ6" s="1">
        <v>6.0539999999999997E-2</v>
      </c>
      <c r="AK6" s="1">
        <v>0.1037</v>
      </c>
      <c r="AL6" s="1">
        <v>0.20330000000000001</v>
      </c>
      <c r="AM6" s="1">
        <v>1.343</v>
      </c>
      <c r="AN6" s="1">
        <v>4.0189999999999997E-2</v>
      </c>
      <c r="AO6" s="1">
        <v>3.9280000000000002E-2</v>
      </c>
      <c r="AP6" s="1">
        <v>5.3560000000000003E-2</v>
      </c>
      <c r="AQ6" s="1">
        <v>7.5509999999999994E-2</v>
      </c>
      <c r="AR6" s="1">
        <v>9.0240000000000001E-2</v>
      </c>
      <c r="AS6" s="1">
        <v>1.193E-2</v>
      </c>
      <c r="AT6" s="1">
        <v>1.0880000000000001E-2</v>
      </c>
      <c r="AU6" s="1">
        <v>2.8369999999999999E-2</v>
      </c>
      <c r="AV6" s="1">
        <v>0.1217</v>
      </c>
      <c r="AW6" s="1">
        <v>1.7809999999999999E-2</v>
      </c>
      <c r="AX6" s="1">
        <v>3.3410000000000002E-2</v>
      </c>
      <c r="AY6" s="1">
        <v>6.447E-2</v>
      </c>
      <c r="AZ6" s="1">
        <v>8.2140000000000005E-2</v>
      </c>
      <c r="BA6" s="1">
        <v>5.3150000000000003E-2</v>
      </c>
      <c r="BB6" s="1">
        <v>3.8539999999999998E-2</v>
      </c>
      <c r="BC6" s="1">
        <v>3.9039999999999998E-2</v>
      </c>
      <c r="BD6" s="1">
        <v>4.4260000000000001E-2</v>
      </c>
      <c r="BE6" s="1">
        <v>8.1280000000000005E-2</v>
      </c>
      <c r="BF6" s="1">
        <v>4.258E-2</v>
      </c>
      <c r="BG6" s="1">
        <v>4.7849999999999997E-2</v>
      </c>
      <c r="BH6" s="1">
        <v>4.7849999999999997E-2</v>
      </c>
      <c r="BI6" s="1">
        <v>0.14749999999999999</v>
      </c>
      <c r="BJ6" s="1">
        <v>0.1072</v>
      </c>
      <c r="BK6" s="1">
        <v>0.1956</v>
      </c>
      <c r="BL6" s="1">
        <v>0.58740000000000003</v>
      </c>
      <c r="BM6" s="1">
        <v>2.1510000000000001E-2</v>
      </c>
      <c r="BN6" s="1">
        <v>9.1730000000000006E-2</v>
      </c>
      <c r="BO6" s="1">
        <v>0</v>
      </c>
      <c r="BP6" s="1">
        <v>0.22140000000000001</v>
      </c>
      <c r="BQ6" s="1">
        <v>0.60399999999999998</v>
      </c>
    </row>
    <row r="7" spans="1:71" x14ac:dyDescent="0.45">
      <c r="A7" s="3" t="s">
        <v>43</v>
      </c>
      <c r="B7">
        <f t="shared" ref="B7" si="0">B6 * (0.1111 ^ (1 / B5))</f>
        <v>2.8003875756804453</v>
      </c>
      <c r="C7">
        <f t="shared" ref="C7:AM7" si="1">C6 * (0.1111 ^ (1 / C5))</f>
        <v>10.579001434113323</v>
      </c>
      <c r="D7">
        <f t="shared" si="1"/>
        <v>11.5704951830513</v>
      </c>
      <c r="E7">
        <f t="shared" si="1"/>
        <v>16.57754160221824</v>
      </c>
      <c r="F7">
        <f t="shared" si="1"/>
        <v>3.2536906762732629</v>
      </c>
      <c r="G7">
        <f t="shared" si="1"/>
        <v>2.443862241756265</v>
      </c>
      <c r="H7">
        <f t="shared" si="1"/>
        <v>0.14491222423427322</v>
      </c>
      <c r="I7">
        <f t="shared" si="1"/>
        <v>0.73931448785440024</v>
      </c>
      <c r="J7">
        <f t="shared" si="1"/>
        <v>5.4765722840322932E-2</v>
      </c>
      <c r="K7">
        <f t="shared" si="1"/>
        <v>8.3111483795136359E-2</v>
      </c>
      <c r="L7">
        <f t="shared" si="1"/>
        <v>7.5768055863232666</v>
      </c>
      <c r="M7">
        <f t="shared" si="1"/>
        <v>55.118723568032429</v>
      </c>
      <c r="N7">
        <f t="shared" si="1"/>
        <v>10.811776900434324</v>
      </c>
      <c r="O7">
        <f t="shared" si="1"/>
        <v>1.9620390120168407</v>
      </c>
      <c r="P7">
        <f t="shared" si="1"/>
        <v>1.5482124484755211</v>
      </c>
      <c r="Q7">
        <f t="shared" si="1"/>
        <v>2.6128112977564553</v>
      </c>
      <c r="R7">
        <f t="shared" si="1"/>
        <v>11.849239012281259</v>
      </c>
      <c r="S7">
        <f t="shared" si="1"/>
        <v>1.5567731931733471</v>
      </c>
      <c r="T7">
        <f t="shared" si="1"/>
        <v>1.3966187557124865</v>
      </c>
      <c r="U7">
        <f t="shared" si="1"/>
        <v>3.2065461363672809</v>
      </c>
      <c r="V7">
        <f t="shared" si="1"/>
        <v>1.1049889892447677</v>
      </c>
      <c r="W7">
        <f t="shared" si="1"/>
        <v>2.059170414403042</v>
      </c>
      <c r="X7">
        <f t="shared" si="1"/>
        <v>3.1100784699909849</v>
      </c>
      <c r="Y7">
        <f t="shared" si="1"/>
        <v>2.2165269685831226</v>
      </c>
      <c r="Z7">
        <f t="shared" si="1"/>
        <v>19.817834916927318</v>
      </c>
      <c r="AA7">
        <f t="shared" si="1"/>
        <v>7.2556725526337758</v>
      </c>
      <c r="AB7">
        <f t="shared" si="1"/>
        <v>0.90367097169987176</v>
      </c>
      <c r="AC7">
        <f t="shared" si="1"/>
        <v>7.4815614217753161</v>
      </c>
      <c r="AD7">
        <f t="shared" si="1"/>
        <v>1.9539796534200873</v>
      </c>
      <c r="AE7">
        <f t="shared" si="1"/>
        <v>2.1898070053022374</v>
      </c>
      <c r="AF7">
        <f t="shared" si="1"/>
        <v>0.38778043848968735</v>
      </c>
      <c r="AG7">
        <f t="shared" si="1"/>
        <v>2.688684844491759</v>
      </c>
      <c r="AH7">
        <f t="shared" si="1"/>
        <v>0.58212459881609036</v>
      </c>
      <c r="AI7">
        <f t="shared" si="1"/>
        <v>0.28751840001338019</v>
      </c>
      <c r="AJ7">
        <f t="shared" si="1"/>
        <v>0.62231538919407858</v>
      </c>
      <c r="AK7">
        <f t="shared" si="1"/>
        <v>3.3924881971265064</v>
      </c>
      <c r="AL7">
        <f t="shared" si="1"/>
        <v>10.416324128114848</v>
      </c>
      <c r="AM7">
        <f t="shared" si="1"/>
        <v>2.6784472295284418</v>
      </c>
      <c r="AN7">
        <f t="shared" ref="AN7:BL7" si="2">AN6 * (0.1111 ^ (1 / AN5))</f>
        <v>1.4907648502410067</v>
      </c>
      <c r="AO7">
        <f t="shared" si="2"/>
        <v>1.4806807761179237</v>
      </c>
      <c r="AP7">
        <f t="shared" si="2"/>
        <v>5.925391841897107</v>
      </c>
      <c r="AQ7">
        <f t="shared" si="2"/>
        <v>0.97078580231654654</v>
      </c>
      <c r="AR7">
        <f t="shared" si="2"/>
        <v>2.7614139763556396</v>
      </c>
      <c r="AS7">
        <f t="shared" si="2"/>
        <v>1.2004364275373716</v>
      </c>
      <c r="AT7">
        <f t="shared" si="2"/>
        <v>0.25733147239473975</v>
      </c>
      <c r="AU7">
        <f t="shared" si="2"/>
        <v>1.2904972372434595</v>
      </c>
      <c r="AV7">
        <f t="shared" si="2"/>
        <v>2.6573656388836722</v>
      </c>
      <c r="AW7">
        <f t="shared" si="2"/>
        <v>0.64672463727121587</v>
      </c>
      <c r="AX7">
        <f t="shared" si="2"/>
        <v>1.6997944185207976</v>
      </c>
      <c r="AY7">
        <f t="shared" si="2"/>
        <v>3.5130618965813669</v>
      </c>
      <c r="AZ7">
        <f t="shared" si="2"/>
        <v>20.466981504786911</v>
      </c>
      <c r="BA7">
        <f t="shared" si="2"/>
        <v>5.7116719278214365</v>
      </c>
      <c r="BB7">
        <f t="shared" si="2"/>
        <v>1.8412200446128824</v>
      </c>
      <c r="BC7">
        <f t="shared" si="2"/>
        <v>0.65188286699735609</v>
      </c>
      <c r="BD7">
        <f t="shared" si="2"/>
        <v>2.1553594353107481</v>
      </c>
      <c r="BE7">
        <f t="shared" si="2"/>
        <v>4.2631212686783924</v>
      </c>
      <c r="BF7">
        <f t="shared" si="2"/>
        <v>2.0678601141091404</v>
      </c>
      <c r="BG7">
        <f t="shared" si="2"/>
        <v>4.4954169015043712</v>
      </c>
      <c r="BH7">
        <f t="shared" si="2"/>
        <v>4.4954169015043712</v>
      </c>
      <c r="BI7">
        <f t="shared" si="2"/>
        <v>9.6626372703398893</v>
      </c>
      <c r="BJ7">
        <f t="shared" si="2"/>
        <v>3.5264890964449558</v>
      </c>
      <c r="BK7">
        <f t="shared" si="2"/>
        <v>3.9667133335808171</v>
      </c>
      <c r="BL7">
        <f t="shared" si="2"/>
        <v>9.883078447650151</v>
      </c>
      <c r="BM7">
        <f t="shared" ref="BM7:BQ7" si="3">BM6 * (0.1111 ^ (1 / BM5))</f>
        <v>0.48171514285272665</v>
      </c>
      <c r="BN7">
        <f t="shared" si="3"/>
        <v>9.6640840029430315</v>
      </c>
      <c r="BO7">
        <f t="shared" si="3"/>
        <v>0</v>
      </c>
      <c r="BP7">
        <f t="shared" si="3"/>
        <v>6.8112496648825722</v>
      </c>
      <c r="BQ7">
        <f t="shared" si="3"/>
        <v>66.888474908997821</v>
      </c>
    </row>
    <row r="8" spans="1:71" x14ac:dyDescent="0.45">
      <c r="A8" s="3" t="s">
        <v>44</v>
      </c>
      <c r="B8">
        <f t="shared" ref="B8" si="4">B6 * (0.25 ^ (1 / B5))</f>
        <v>0.57643675465375055</v>
      </c>
      <c r="C8">
        <f t="shared" ref="C8:AM8" si="5">C6 * (0.25 ^ (1 / C5))</f>
        <v>2.1311842121763789</v>
      </c>
      <c r="D8">
        <f t="shared" si="5"/>
        <v>2.7887634841513034</v>
      </c>
      <c r="E8">
        <f t="shared" si="5"/>
        <v>4.1381508474458109</v>
      </c>
      <c r="F8">
        <f t="shared" si="5"/>
        <v>0.76750569399318491</v>
      </c>
      <c r="G8">
        <f t="shared" si="5"/>
        <v>0.51371130820071587</v>
      </c>
      <c r="H8">
        <f t="shared" si="5"/>
        <v>8.8349086510997127E-2</v>
      </c>
      <c r="I8">
        <f t="shared" si="5"/>
        <v>0.34571685053844753</v>
      </c>
      <c r="J8">
        <f t="shared" si="5"/>
        <v>3.6223039935125816E-2</v>
      </c>
      <c r="K8">
        <f t="shared" si="5"/>
        <v>5.0517150383768916E-2</v>
      </c>
      <c r="L8">
        <f t="shared" si="5"/>
        <v>1.319903130958362</v>
      </c>
      <c r="M8">
        <f t="shared" si="5"/>
        <v>4.1644769080426913</v>
      </c>
      <c r="N8">
        <f t="shared" si="5"/>
        <v>1.7759448759127925</v>
      </c>
      <c r="O8">
        <f t="shared" si="5"/>
        <v>0.60927243788837793</v>
      </c>
      <c r="P8">
        <f t="shared" si="5"/>
        <v>0.53368902328404444</v>
      </c>
      <c r="Q8">
        <f t="shared" si="5"/>
        <v>0.70139344417318739</v>
      </c>
      <c r="R8">
        <f t="shared" si="5"/>
        <v>3.2670635095311531</v>
      </c>
      <c r="S8">
        <f t="shared" si="5"/>
        <v>0.50587089140490937</v>
      </c>
      <c r="T8">
        <f t="shared" si="5"/>
        <v>0.25488774120445173</v>
      </c>
      <c r="U8">
        <f t="shared" si="5"/>
        <v>0.87011306347159945</v>
      </c>
      <c r="V8">
        <f t="shared" si="5"/>
        <v>0.35783199185192188</v>
      </c>
      <c r="W8">
        <f t="shared" si="5"/>
        <v>0.47279806463496149</v>
      </c>
      <c r="X8">
        <f t="shared" si="5"/>
        <v>0.62772792059102112</v>
      </c>
      <c r="Y8">
        <f t="shared" si="5"/>
        <v>0.30912398243847794</v>
      </c>
      <c r="Z8">
        <f t="shared" si="5"/>
        <v>4.2505196374318324</v>
      </c>
      <c r="AA8">
        <f t="shared" si="5"/>
        <v>0.93587577512524911</v>
      </c>
      <c r="AB8">
        <f t="shared" si="5"/>
        <v>0.3626548132726225</v>
      </c>
      <c r="AC8">
        <f t="shared" si="5"/>
        <v>1.9509980270212828</v>
      </c>
      <c r="AD8">
        <f t="shared" si="5"/>
        <v>0.54007210753640622</v>
      </c>
      <c r="AE8">
        <f t="shared" si="5"/>
        <v>0.7138993345248219</v>
      </c>
      <c r="AF8">
        <f t="shared" si="5"/>
        <v>0.12598898318469523</v>
      </c>
      <c r="AG8">
        <f t="shared" si="5"/>
        <v>0.91601072947319429</v>
      </c>
      <c r="AH8">
        <f t="shared" si="5"/>
        <v>0.27026151759086181</v>
      </c>
      <c r="AI8">
        <f t="shared" si="5"/>
        <v>0.14263800728989859</v>
      </c>
      <c r="AJ8">
        <f t="shared" si="5"/>
        <v>0.26332625164763374</v>
      </c>
      <c r="AK8">
        <f t="shared" si="5"/>
        <v>0.93633128901295892</v>
      </c>
      <c r="AL8">
        <f t="shared" si="5"/>
        <v>2.4361910923846644</v>
      </c>
      <c r="AM8">
        <f t="shared" si="5"/>
        <v>2.0759869153659007</v>
      </c>
      <c r="AN8">
        <f t="shared" ref="AN8:BL8" si="6">AN6 * (0.25 ^ (1 / AN5))</f>
        <v>0.39281260463645079</v>
      </c>
      <c r="AO8">
        <f t="shared" si="6"/>
        <v>0.38784165488193301</v>
      </c>
      <c r="AP8">
        <f t="shared" si="6"/>
        <v>1.0430962384515565</v>
      </c>
      <c r="AQ8">
        <f t="shared" si="6"/>
        <v>0.37822372293229178</v>
      </c>
      <c r="AR8">
        <f t="shared" si="6"/>
        <v>0.78117659180428412</v>
      </c>
      <c r="AS8">
        <f t="shared" si="6"/>
        <v>0.21884929272443976</v>
      </c>
      <c r="AT8">
        <f t="shared" si="6"/>
        <v>8.005733443938931E-2</v>
      </c>
      <c r="AU8">
        <f t="shared" si="6"/>
        <v>0.31537607504608389</v>
      </c>
      <c r="AV8">
        <f t="shared" si="6"/>
        <v>0.85146828830009036</v>
      </c>
      <c r="AW8">
        <f t="shared" si="6"/>
        <v>0.1717530848407369</v>
      </c>
      <c r="AX8">
        <f t="shared" si="6"/>
        <v>0.39858565782271144</v>
      </c>
      <c r="AY8">
        <f t="shared" si="6"/>
        <v>0.80317261381892979</v>
      </c>
      <c r="AZ8">
        <f t="shared" si="6"/>
        <v>2.669982831664838</v>
      </c>
      <c r="BA8">
        <f t="shared" si="6"/>
        <v>1.0163125843158618</v>
      </c>
      <c r="BB8">
        <f t="shared" si="6"/>
        <v>0.44189281357914828</v>
      </c>
      <c r="BC8">
        <f t="shared" si="6"/>
        <v>0.23061477071783906</v>
      </c>
      <c r="BD8">
        <f t="shared" si="6"/>
        <v>0.51364391297939893</v>
      </c>
      <c r="BE8">
        <f t="shared" si="6"/>
        <v>0.9884892837892485</v>
      </c>
      <c r="BF8">
        <f t="shared" si="6"/>
        <v>0.4932917554459077</v>
      </c>
      <c r="BG8">
        <f t="shared" si="6"/>
        <v>0.8405799959739676</v>
      </c>
      <c r="BH8">
        <f t="shared" si="6"/>
        <v>0.8405799959739676</v>
      </c>
      <c r="BI8">
        <f t="shared" si="6"/>
        <v>2.0639533808329174</v>
      </c>
      <c r="BJ8">
        <f t="shared" si="6"/>
        <v>0.97132570695370091</v>
      </c>
      <c r="BK8">
        <f t="shared" si="6"/>
        <v>1.3061576610001779</v>
      </c>
      <c r="BL8">
        <f t="shared" si="6"/>
        <v>3.4865211751107288</v>
      </c>
      <c r="BM8">
        <f t="shared" ref="BM8:BQ8" si="7">BM6 * (0.25 ^ (1 / BM5))</f>
        <v>0.15291545354702152</v>
      </c>
      <c r="BN8">
        <f t="shared" si="7"/>
        <v>1.7322195642263483</v>
      </c>
      <c r="BO8">
        <f t="shared" si="7"/>
        <v>0</v>
      </c>
      <c r="BP8">
        <f t="shared" si="7"/>
        <v>1.9230447545026816</v>
      </c>
      <c r="BQ8">
        <f t="shared" si="7"/>
        <v>11.770556290303324</v>
      </c>
    </row>
    <row r="10" spans="1:71" x14ac:dyDescent="0.45">
      <c r="A10" s="5"/>
      <c r="B10" s="4" t="s">
        <v>0</v>
      </c>
      <c r="C10" s="4" t="s">
        <v>1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6</v>
      </c>
      <c r="I10" s="4" t="s">
        <v>7</v>
      </c>
      <c r="J10" s="4" t="s">
        <v>8</v>
      </c>
      <c r="K10" s="4" t="s">
        <v>9</v>
      </c>
      <c r="L10" s="4" t="s">
        <v>10</v>
      </c>
      <c r="M10" s="4" t="s">
        <v>11</v>
      </c>
      <c r="N10" s="4" t="s">
        <v>12</v>
      </c>
      <c r="O10" s="4" t="s">
        <v>13</v>
      </c>
      <c r="P10" s="4" t="s">
        <v>14</v>
      </c>
      <c r="Q10" s="4" t="s">
        <v>15</v>
      </c>
      <c r="R10" s="4" t="s">
        <v>16</v>
      </c>
      <c r="S10" s="4" t="s">
        <v>17</v>
      </c>
      <c r="T10" s="4" t="s">
        <v>18</v>
      </c>
      <c r="U10" s="4" t="s">
        <v>19</v>
      </c>
      <c r="V10" s="4" t="s">
        <v>20</v>
      </c>
      <c r="W10" s="4" t="s">
        <v>21</v>
      </c>
      <c r="X10" s="4" t="s">
        <v>22</v>
      </c>
      <c r="Y10" s="4" t="s">
        <v>23</v>
      </c>
      <c r="Z10" s="4" t="s">
        <v>24</v>
      </c>
      <c r="AA10" s="4" t="s">
        <v>25</v>
      </c>
      <c r="AB10" s="4" t="s">
        <v>26</v>
      </c>
      <c r="AC10" s="4" t="s">
        <v>27</v>
      </c>
      <c r="AD10" s="4" t="s">
        <v>28</v>
      </c>
      <c r="AE10" s="4" t="s">
        <v>29</v>
      </c>
      <c r="AF10" s="4" t="s">
        <v>30</v>
      </c>
      <c r="AG10" s="4" t="s">
        <v>31</v>
      </c>
      <c r="AH10" s="4" t="s">
        <v>32</v>
      </c>
      <c r="AI10" s="4" t="s">
        <v>33</v>
      </c>
      <c r="AJ10" s="4" t="s">
        <v>34</v>
      </c>
      <c r="AK10" s="4" t="s">
        <v>35</v>
      </c>
      <c r="AL10" s="4" t="s">
        <v>36</v>
      </c>
      <c r="AM10" s="4" t="s">
        <v>37</v>
      </c>
      <c r="AN10" s="2" t="s">
        <v>49</v>
      </c>
      <c r="AO10" s="2" t="s">
        <v>17</v>
      </c>
      <c r="AP10" s="2" t="s">
        <v>50</v>
      </c>
      <c r="AQ10" s="2" t="s">
        <v>51</v>
      </c>
      <c r="AR10" s="2" t="s">
        <v>52</v>
      </c>
      <c r="AS10" s="2" t="s">
        <v>53</v>
      </c>
      <c r="AT10" s="2" t="s">
        <v>54</v>
      </c>
      <c r="AU10" s="2" t="s">
        <v>4</v>
      </c>
      <c r="AV10" s="2" t="s">
        <v>55</v>
      </c>
      <c r="AW10" s="2" t="s">
        <v>56</v>
      </c>
      <c r="AX10" s="2" t="s">
        <v>57</v>
      </c>
      <c r="AY10" s="2" t="s">
        <v>58</v>
      </c>
      <c r="AZ10" s="2" t="s">
        <v>59</v>
      </c>
      <c r="BA10" s="2" t="s">
        <v>60</v>
      </c>
      <c r="BB10" s="2" t="s">
        <v>61</v>
      </c>
      <c r="BC10" s="2" t="s">
        <v>62</v>
      </c>
      <c r="BD10" s="2" t="s">
        <v>63</v>
      </c>
      <c r="BE10" s="2" t="s">
        <v>64</v>
      </c>
      <c r="BF10" s="2" t="s">
        <v>65</v>
      </c>
      <c r="BG10" s="2" t="s">
        <v>66</v>
      </c>
      <c r="BH10" s="2" t="s">
        <v>67</v>
      </c>
      <c r="BI10" s="2" t="s">
        <v>68</v>
      </c>
      <c r="BJ10" s="2" t="s">
        <v>69</v>
      </c>
      <c r="BK10" s="2" t="s">
        <v>70</v>
      </c>
      <c r="BL10" s="2" t="s">
        <v>71</v>
      </c>
      <c r="BM10" s="2" t="s">
        <v>73</v>
      </c>
      <c r="BN10" s="2" t="s">
        <v>74</v>
      </c>
      <c r="BO10" s="2" t="s">
        <v>75</v>
      </c>
      <c r="BP10" s="2" t="s">
        <v>76</v>
      </c>
      <c r="BQ10" s="2" t="s">
        <v>77</v>
      </c>
      <c r="BR10" s="4" t="s">
        <v>46</v>
      </c>
      <c r="BS10" s="4" t="s">
        <v>47</v>
      </c>
    </row>
    <row r="11" spans="1:71" x14ac:dyDescent="0.45">
      <c r="A11" s="4" t="s">
        <v>45</v>
      </c>
      <c r="B11" s="4">
        <v>3.8670000000000003E-2</v>
      </c>
      <c r="C11" s="4">
        <v>0.13780000000000001</v>
      </c>
      <c r="D11" s="4">
        <v>0.245</v>
      </c>
      <c r="E11" s="4">
        <v>0.38600000000000001</v>
      </c>
      <c r="F11" s="4">
        <v>6.4990000000000006E-2</v>
      </c>
      <c r="G11" s="4">
        <v>3.5720000000000002E-2</v>
      </c>
      <c r="H11" s="4">
        <v>3.7920000000000002E-2</v>
      </c>
      <c r="I11" s="4">
        <v>9.4289999999999999E-2</v>
      </c>
      <c r="J11" s="4">
        <v>1.787E-2</v>
      </c>
      <c r="K11" s="4">
        <v>2.1569999999999999E-2</v>
      </c>
      <c r="L11" s="4">
        <v>6.6570000000000004E-2</v>
      </c>
      <c r="M11" s="4">
        <v>5.0369999999999998E-2</v>
      </c>
      <c r="N11" s="4">
        <v>8.1009999999999999E-2</v>
      </c>
      <c r="O11" s="4">
        <v>8.2540000000000002E-2</v>
      </c>
      <c r="P11" s="4">
        <v>8.6430000000000007E-2</v>
      </c>
      <c r="Q11" s="4">
        <v>7.4079999999999993E-2</v>
      </c>
      <c r="R11" s="4">
        <v>0.36120000000000002</v>
      </c>
      <c r="S11" s="4">
        <v>7.4060000000000001E-2</v>
      </c>
      <c r="T11" s="4">
        <v>1.392E-2</v>
      </c>
      <c r="U11" s="4">
        <v>9.3609999999999999E-2</v>
      </c>
      <c r="V11" s="4">
        <v>5.2080000000000001E-2</v>
      </c>
      <c r="W11" s="4">
        <v>3.823E-2</v>
      </c>
      <c r="X11" s="4">
        <v>4.0719999999999999E-2</v>
      </c>
      <c r="Y11" s="4">
        <v>1.0659999999999999E-2</v>
      </c>
      <c r="Z11" s="4">
        <v>0.30590000000000001</v>
      </c>
      <c r="AA11" s="4">
        <v>2.8240000000000001E-2</v>
      </c>
      <c r="AB11" s="4">
        <v>7.6160000000000005E-2</v>
      </c>
      <c r="AC11" s="4">
        <v>0.1961</v>
      </c>
      <c r="AD11" s="4">
        <v>5.9959999999999999E-2</v>
      </c>
      <c r="AE11" s="4">
        <v>0.1051</v>
      </c>
      <c r="AF11" s="4">
        <v>1.8440000000000002E-2</v>
      </c>
      <c r="AG11" s="4">
        <v>0.1454</v>
      </c>
      <c r="AH11" s="4">
        <v>7.281E-2</v>
      </c>
      <c r="AI11" s="4">
        <v>4.3040000000000002E-2</v>
      </c>
      <c r="AJ11" s="4">
        <v>6.0539999999999997E-2</v>
      </c>
      <c r="AK11" s="4">
        <v>0.1037</v>
      </c>
      <c r="AL11" s="4">
        <v>0.20330000000000001</v>
      </c>
      <c r="AM11" s="4">
        <v>1.343</v>
      </c>
      <c r="AN11">
        <v>4.0189999999999997E-2</v>
      </c>
      <c r="AO11">
        <v>3.9280000000000002E-2</v>
      </c>
      <c r="AP11">
        <v>5.3560000000000003E-2</v>
      </c>
      <c r="AQ11">
        <v>7.5509999999999994E-2</v>
      </c>
      <c r="AR11">
        <v>9.0240000000000001E-2</v>
      </c>
      <c r="AS11">
        <v>1.193E-2</v>
      </c>
      <c r="AT11">
        <v>1.0880000000000001E-2</v>
      </c>
      <c r="AU11">
        <v>2.8369999999999999E-2</v>
      </c>
      <c r="AV11">
        <v>0.1217</v>
      </c>
      <c r="AW11">
        <v>1.7809999999999999E-2</v>
      </c>
      <c r="AX11">
        <v>3.3410000000000002E-2</v>
      </c>
      <c r="AY11">
        <v>6.447E-2</v>
      </c>
      <c r="AZ11">
        <v>8.2140000000000005E-2</v>
      </c>
      <c r="BA11">
        <v>5.3150000000000003E-2</v>
      </c>
      <c r="BB11">
        <v>3.8539999999999998E-2</v>
      </c>
      <c r="BC11">
        <v>3.9039999999999998E-2</v>
      </c>
      <c r="BD11">
        <v>4.4260000000000001E-2</v>
      </c>
      <c r="BE11">
        <v>8.1280000000000005E-2</v>
      </c>
      <c r="BF11">
        <v>4.258E-2</v>
      </c>
      <c r="BG11">
        <v>4.7849999999999997E-2</v>
      </c>
      <c r="BH11">
        <v>4.7849999999999997E-2</v>
      </c>
      <c r="BI11">
        <v>0.14749999999999999</v>
      </c>
      <c r="BJ11">
        <v>0.1072</v>
      </c>
      <c r="BK11">
        <v>0.1956</v>
      </c>
      <c r="BL11">
        <v>0.58740000000000003</v>
      </c>
      <c r="BM11" s="1">
        <v>2.1510000000000001E-2</v>
      </c>
      <c r="BN11" s="1">
        <v>9.1730000000000006E-2</v>
      </c>
      <c r="BO11" s="1">
        <v>0</v>
      </c>
      <c r="BP11" s="1">
        <v>0.22140000000000001</v>
      </c>
      <c r="BQ11" s="1">
        <v>0.60399999999999998</v>
      </c>
      <c r="BR11">
        <f>AVERAGE(B11:BQ11)</f>
        <v>0.11775558823529411</v>
      </c>
      <c r="BS11">
        <f>STDEV(B11:BQ11)</f>
        <v>0.19070943665169546</v>
      </c>
    </row>
    <row r="12" spans="1:71" x14ac:dyDescent="0.45">
      <c r="A12" s="5" t="s">
        <v>44</v>
      </c>
      <c r="B12" s="5">
        <v>0.57643675465375055</v>
      </c>
      <c r="C12" s="5">
        <v>2.1311842121763789</v>
      </c>
      <c r="D12" s="5">
        <v>2.7887634841513034</v>
      </c>
      <c r="E12" s="5">
        <v>4.1381508474458109</v>
      </c>
      <c r="F12" s="5">
        <v>0.76750569399318491</v>
      </c>
      <c r="G12" s="5">
        <v>0.51371130820071587</v>
      </c>
      <c r="H12" s="5">
        <v>8.8349086510997127E-2</v>
      </c>
      <c r="I12" s="5">
        <v>0.34571685053844753</v>
      </c>
      <c r="J12" s="5">
        <v>3.6223039935125816E-2</v>
      </c>
      <c r="K12" s="5">
        <v>5.0517150383768916E-2</v>
      </c>
      <c r="L12" s="5">
        <v>1.319903130958362</v>
      </c>
      <c r="M12" s="5">
        <v>4.1644769080426913</v>
      </c>
      <c r="N12" s="5">
        <v>1.7759448759127925</v>
      </c>
      <c r="O12" s="5">
        <v>0.60927243788837793</v>
      </c>
      <c r="P12" s="5">
        <v>0.53368902328404444</v>
      </c>
      <c r="Q12" s="5">
        <v>0.70139344417318739</v>
      </c>
      <c r="R12" s="5">
        <v>3.2670635095311531</v>
      </c>
      <c r="S12" s="5">
        <v>0.50587089140490937</v>
      </c>
      <c r="T12" s="5">
        <v>0.25488774120445173</v>
      </c>
      <c r="U12" s="5">
        <v>0.87011306347159945</v>
      </c>
      <c r="V12" s="5">
        <v>0.35783199185192188</v>
      </c>
      <c r="W12" s="5">
        <v>0.47279806463496149</v>
      </c>
      <c r="X12" s="5">
        <v>0.62772792059102112</v>
      </c>
      <c r="Y12" s="5">
        <v>0.30912398243847794</v>
      </c>
      <c r="Z12" s="5">
        <v>4.2505196374318324</v>
      </c>
      <c r="AA12" s="5">
        <v>0.93587577512524911</v>
      </c>
      <c r="AB12" s="5">
        <v>0.3626548132726225</v>
      </c>
      <c r="AC12" s="5">
        <v>1.9509980270212828</v>
      </c>
      <c r="AD12" s="5">
        <v>0.54007210753640622</v>
      </c>
      <c r="AE12" s="5">
        <v>0.7138993345248219</v>
      </c>
      <c r="AF12" s="5">
        <v>0.12598898318469523</v>
      </c>
      <c r="AG12" s="5">
        <v>0.91601072947319429</v>
      </c>
      <c r="AH12" s="5">
        <v>0.27026151759086181</v>
      </c>
      <c r="AI12" s="5">
        <v>0.14263800728989859</v>
      </c>
      <c r="AJ12" s="5">
        <v>0.26332625164763374</v>
      </c>
      <c r="AK12" s="5">
        <v>0.93633128901295892</v>
      </c>
      <c r="AL12" s="5">
        <v>2.4361910923846644</v>
      </c>
      <c r="AM12" s="5">
        <v>2.0759869153659007</v>
      </c>
      <c r="AN12">
        <v>0.39281260463645079</v>
      </c>
      <c r="AO12">
        <v>0.38784165488193301</v>
      </c>
      <c r="AP12">
        <v>1.0430962384515565</v>
      </c>
      <c r="AQ12">
        <v>0.37822372293229178</v>
      </c>
      <c r="AR12">
        <v>0.78117659180428412</v>
      </c>
      <c r="AS12">
        <v>0.21884929272443976</v>
      </c>
      <c r="AT12">
        <v>8.005733443938931E-2</v>
      </c>
      <c r="AU12">
        <v>0.31537607504608389</v>
      </c>
      <c r="AV12">
        <v>0.85146828830009036</v>
      </c>
      <c r="AW12">
        <v>0.1717530848407369</v>
      </c>
      <c r="AX12">
        <v>0.39858565782271144</v>
      </c>
      <c r="AY12">
        <v>0.80317261381892979</v>
      </c>
      <c r="AZ12">
        <v>2.669982831664838</v>
      </c>
      <c r="BA12">
        <v>1.0163125843158618</v>
      </c>
      <c r="BB12">
        <v>0.44189281357914828</v>
      </c>
      <c r="BC12">
        <v>0.23061477071783906</v>
      </c>
      <c r="BD12">
        <v>0.51364391297939893</v>
      </c>
      <c r="BE12">
        <v>0.9884892837892485</v>
      </c>
      <c r="BF12">
        <v>0.4932917554459077</v>
      </c>
      <c r="BG12">
        <v>0.8405799959739676</v>
      </c>
      <c r="BH12">
        <v>0.8405799959739676</v>
      </c>
      <c r="BI12">
        <v>2.0639533808329174</v>
      </c>
      <c r="BJ12">
        <v>0.97132570695370091</v>
      </c>
      <c r="BK12">
        <v>1.3061576610001779</v>
      </c>
      <c r="BL12">
        <v>3.4865211751107288</v>
      </c>
      <c r="BM12">
        <v>0.15291545354702152</v>
      </c>
      <c r="BN12">
        <v>1.7322195642263483</v>
      </c>
      <c r="BO12">
        <v>0</v>
      </c>
      <c r="BP12">
        <v>1.9230447545026816</v>
      </c>
      <c r="BQ12">
        <v>11.770556290303324</v>
      </c>
      <c r="BR12">
        <f>AVERAGE(B12:BQ12)</f>
        <v>1.1822338968361097</v>
      </c>
      <c r="BS12">
        <f>STDEV(B12:BQ12)</f>
        <v>1.6707225268188743</v>
      </c>
    </row>
    <row r="13" spans="1:71" x14ac:dyDescent="0.45">
      <c r="A13" s="5" t="s">
        <v>43</v>
      </c>
      <c r="B13" s="5">
        <v>2.8003875756804453</v>
      </c>
      <c r="C13" s="5">
        <v>10.579001434113323</v>
      </c>
      <c r="D13" s="5">
        <v>11.5704951830513</v>
      </c>
      <c r="E13" s="5">
        <v>16.57754160221824</v>
      </c>
      <c r="F13" s="5">
        <v>3.2536906762732629</v>
      </c>
      <c r="G13" s="5">
        <v>2.443862241756265</v>
      </c>
      <c r="H13" s="5">
        <v>0.14491222423427322</v>
      </c>
      <c r="I13" s="5">
        <v>0.73931448785440024</v>
      </c>
      <c r="J13" s="5">
        <v>5.4765722840322932E-2</v>
      </c>
      <c r="K13" s="5">
        <v>8.3111483795136359E-2</v>
      </c>
      <c r="L13" s="5">
        <v>7.5768055863232666</v>
      </c>
      <c r="M13" s="5">
        <v>55.118723568032429</v>
      </c>
      <c r="N13" s="5">
        <v>10.811776900434324</v>
      </c>
      <c r="O13" s="5">
        <v>1.9620390120168407</v>
      </c>
      <c r="P13" s="5">
        <v>1.5482124484755211</v>
      </c>
      <c r="Q13" s="5">
        <v>2.6128112977564553</v>
      </c>
      <c r="R13" s="5">
        <v>11.849239012281259</v>
      </c>
      <c r="S13" s="5">
        <v>1.5567731931733471</v>
      </c>
      <c r="T13" s="5">
        <v>1.3966187557124865</v>
      </c>
      <c r="U13" s="5">
        <v>3.2065461363672809</v>
      </c>
      <c r="V13" s="5">
        <v>1.1049889892447677</v>
      </c>
      <c r="W13" s="5">
        <v>2.059170414403042</v>
      </c>
      <c r="X13" s="5">
        <v>3.1100784699909849</v>
      </c>
      <c r="Y13" s="5">
        <v>2.2165269685831226</v>
      </c>
      <c r="Z13" s="5">
        <v>19.817834916927318</v>
      </c>
      <c r="AA13" s="5">
        <v>7.2556725526337758</v>
      </c>
      <c r="AB13" s="5">
        <v>0.90367097169987176</v>
      </c>
      <c r="AC13" s="5">
        <v>7.4815614217753161</v>
      </c>
      <c r="AD13" s="5">
        <v>1.9539796534200873</v>
      </c>
      <c r="AE13" s="5">
        <v>2.1898070053022374</v>
      </c>
      <c r="AF13" s="5">
        <v>0.38778043848968735</v>
      </c>
      <c r="AG13" s="5">
        <v>2.688684844491759</v>
      </c>
      <c r="AH13" s="5">
        <v>0.58212459881609036</v>
      </c>
      <c r="AI13" s="5">
        <v>0.28751840001338019</v>
      </c>
      <c r="AJ13" s="5">
        <v>0.62231538919407858</v>
      </c>
      <c r="AK13" s="5">
        <v>3.3924881971265064</v>
      </c>
      <c r="AL13" s="5">
        <v>10.416324128114848</v>
      </c>
      <c r="AM13" s="5">
        <v>2.6784472295284418</v>
      </c>
      <c r="AN13">
        <v>1.4907648502410067</v>
      </c>
      <c r="AO13">
        <v>1.4806807761179237</v>
      </c>
      <c r="AP13">
        <v>5.925391841897107</v>
      </c>
      <c r="AQ13">
        <v>0.97078580231654654</v>
      </c>
      <c r="AR13">
        <v>2.7614139763556396</v>
      </c>
      <c r="AS13">
        <v>1.2004364275373716</v>
      </c>
      <c r="AT13">
        <v>0.25733147239473975</v>
      </c>
      <c r="AU13">
        <v>1.2904972372434595</v>
      </c>
      <c r="AV13">
        <v>2.6573656388836722</v>
      </c>
      <c r="AW13">
        <v>0.64672463727121587</v>
      </c>
      <c r="AX13">
        <v>1.6997944185207976</v>
      </c>
      <c r="AY13">
        <v>3.5130618965813669</v>
      </c>
      <c r="AZ13">
        <v>20.466981504786911</v>
      </c>
      <c r="BA13">
        <v>5.7116719278214365</v>
      </c>
      <c r="BB13">
        <v>1.8412200446128824</v>
      </c>
      <c r="BC13">
        <v>0.65188286699735609</v>
      </c>
      <c r="BD13">
        <v>2.1553594353107481</v>
      </c>
      <c r="BE13">
        <v>4.2631212686783924</v>
      </c>
      <c r="BF13">
        <v>2.0678601141091404</v>
      </c>
      <c r="BG13">
        <v>4.4954169015043712</v>
      </c>
      <c r="BH13">
        <v>4.4954169015043712</v>
      </c>
      <c r="BI13">
        <v>9.6626372703398893</v>
      </c>
      <c r="BJ13">
        <v>3.5264890964449558</v>
      </c>
      <c r="BK13">
        <v>3.9667133335808171</v>
      </c>
      <c r="BL13">
        <v>9.883078447650151</v>
      </c>
      <c r="BM13">
        <v>0.48171514285272665</v>
      </c>
      <c r="BN13">
        <v>9.6640840029430315</v>
      </c>
      <c r="BO13">
        <v>0</v>
      </c>
      <c r="BP13">
        <v>6.8112496648825722</v>
      </c>
      <c r="BQ13">
        <v>66.888474908997821</v>
      </c>
      <c r="BR13">
        <f>AVERAGE(B13:BQ13)</f>
        <v>5.8229886020665278</v>
      </c>
      <c r="BS13">
        <f>STDEV(B13:BQ13)</f>
        <v>10.731975128196346</v>
      </c>
    </row>
    <row r="14" spans="1:71" x14ac:dyDescent="0.45">
      <c r="A14" s="5" t="s">
        <v>48</v>
      </c>
      <c r="B14" s="4" t="s">
        <v>0</v>
      </c>
      <c r="C14" s="4" t="s">
        <v>1</v>
      </c>
      <c r="D14" s="4" t="s">
        <v>2</v>
      </c>
      <c r="E14" s="4" t="s">
        <v>3</v>
      </c>
      <c r="F14" s="4" t="s">
        <v>4</v>
      </c>
      <c r="G14" s="4" t="s">
        <v>5</v>
      </c>
      <c r="H14" s="4" t="s">
        <v>6</v>
      </c>
      <c r="I14" s="4" t="s">
        <v>7</v>
      </c>
      <c r="J14" s="4" t="s">
        <v>8</v>
      </c>
      <c r="K14" s="4" t="s">
        <v>9</v>
      </c>
      <c r="L14" s="4" t="s">
        <v>10</v>
      </c>
      <c r="M14" s="4" t="s">
        <v>11</v>
      </c>
      <c r="N14" s="4" t="s">
        <v>12</v>
      </c>
      <c r="O14" s="4" t="s">
        <v>13</v>
      </c>
      <c r="P14" s="4" t="s">
        <v>14</v>
      </c>
      <c r="Q14" s="4" t="s">
        <v>15</v>
      </c>
      <c r="R14" s="4" t="s">
        <v>16</v>
      </c>
      <c r="S14" s="4" t="s">
        <v>17</v>
      </c>
      <c r="T14" s="4" t="s">
        <v>18</v>
      </c>
      <c r="U14" s="4" t="s">
        <v>19</v>
      </c>
      <c r="V14" s="4" t="s">
        <v>20</v>
      </c>
      <c r="W14" s="4" t="s">
        <v>21</v>
      </c>
      <c r="X14" s="4" t="s">
        <v>22</v>
      </c>
      <c r="Y14" s="4" t="s">
        <v>23</v>
      </c>
      <c r="Z14" s="4" t="s">
        <v>24</v>
      </c>
      <c r="AA14" s="4" t="s">
        <v>25</v>
      </c>
      <c r="AB14" s="4" t="s">
        <v>26</v>
      </c>
      <c r="AC14" s="4" t="s">
        <v>27</v>
      </c>
      <c r="AD14" s="4" t="s">
        <v>28</v>
      </c>
      <c r="AE14" s="4" t="s">
        <v>29</v>
      </c>
      <c r="AF14" s="4" t="s">
        <v>30</v>
      </c>
      <c r="AG14" s="4" t="s">
        <v>31</v>
      </c>
      <c r="AH14" s="4" t="s">
        <v>32</v>
      </c>
      <c r="AI14" s="4" t="s">
        <v>33</v>
      </c>
      <c r="AJ14" s="4" t="s">
        <v>34</v>
      </c>
      <c r="AK14" s="4" t="s">
        <v>35</v>
      </c>
      <c r="AL14" s="4" t="s">
        <v>36</v>
      </c>
      <c r="AM14" s="4" t="s">
        <v>37</v>
      </c>
      <c r="AN14" s="2" t="s">
        <v>49</v>
      </c>
      <c r="AO14" s="2" t="s">
        <v>17</v>
      </c>
      <c r="AP14" s="2" t="s">
        <v>50</v>
      </c>
      <c r="AQ14" s="2" t="s">
        <v>51</v>
      </c>
      <c r="AR14" s="2" t="s">
        <v>52</v>
      </c>
      <c r="AS14" s="2" t="s">
        <v>53</v>
      </c>
      <c r="AT14" s="2" t="s">
        <v>54</v>
      </c>
      <c r="AU14" s="2" t="s">
        <v>4</v>
      </c>
      <c r="AV14" s="2" t="s">
        <v>55</v>
      </c>
      <c r="AW14" s="2" t="s">
        <v>56</v>
      </c>
      <c r="AX14" s="2" t="s">
        <v>57</v>
      </c>
      <c r="AY14" s="2" t="s">
        <v>58</v>
      </c>
      <c r="AZ14" s="2" t="s">
        <v>59</v>
      </c>
      <c r="BA14" s="2" t="s">
        <v>60</v>
      </c>
      <c r="BB14" s="2" t="s">
        <v>61</v>
      </c>
      <c r="BC14" s="2" t="s">
        <v>62</v>
      </c>
      <c r="BD14" s="2" t="s">
        <v>63</v>
      </c>
      <c r="BE14" s="2" t="s">
        <v>64</v>
      </c>
      <c r="BF14" s="2" t="s">
        <v>65</v>
      </c>
      <c r="BG14" s="2" t="s">
        <v>66</v>
      </c>
      <c r="BH14" s="2" t="s">
        <v>67</v>
      </c>
      <c r="BI14" s="2" t="s">
        <v>68</v>
      </c>
      <c r="BJ14" s="2" t="s">
        <v>69</v>
      </c>
      <c r="BK14" s="2" t="s">
        <v>70</v>
      </c>
      <c r="BL14" s="2" t="s">
        <v>71</v>
      </c>
      <c r="BM14" s="2" t="s">
        <v>73</v>
      </c>
      <c r="BN14" s="2" t="s">
        <v>74</v>
      </c>
      <c r="BO14" s="2" t="s">
        <v>75</v>
      </c>
      <c r="BP14" s="2" t="s">
        <v>76</v>
      </c>
      <c r="BQ14" s="2" t="s">
        <v>77</v>
      </c>
    </row>
    <row r="15" spans="1:71" x14ac:dyDescent="0.45">
      <c r="A15" s="4" t="s">
        <v>45</v>
      </c>
      <c r="B15">
        <f t="shared" ref="B15:BK15" si="8">(B11-0.1177)/0.19</f>
        <v>-0.41594736842105257</v>
      </c>
      <c r="C15">
        <f t="shared" si="8"/>
        <v>0.10578947368421056</v>
      </c>
      <c r="D15">
        <f t="shared" si="8"/>
        <v>0.66999999999999993</v>
      </c>
      <c r="E15">
        <f t="shared" si="8"/>
        <v>1.4121052631578945</v>
      </c>
      <c r="F15">
        <f t="shared" si="8"/>
        <v>-0.2774210526315789</v>
      </c>
      <c r="G15">
        <f t="shared" si="8"/>
        <v>-0.43147368421052629</v>
      </c>
      <c r="H15">
        <f t="shared" si="8"/>
        <v>-0.41989473684210521</v>
      </c>
      <c r="I15">
        <f t="shared" si="8"/>
        <v>-0.12321052631578948</v>
      </c>
      <c r="J15">
        <f t="shared" si="8"/>
        <v>-0.5254210526315789</v>
      </c>
      <c r="K15">
        <f t="shared" si="8"/>
        <v>-0.50594736842105259</v>
      </c>
      <c r="L15">
        <f t="shared" si="8"/>
        <v>-0.26910526315789468</v>
      </c>
      <c r="M15">
        <f t="shared" si="8"/>
        <v>-0.35436842105263155</v>
      </c>
      <c r="N15">
        <f t="shared" si="8"/>
        <v>-0.19310526315789472</v>
      </c>
      <c r="O15">
        <f t="shared" si="8"/>
        <v>-0.18505263157894736</v>
      </c>
      <c r="P15">
        <f t="shared" si="8"/>
        <v>-0.16457894736842102</v>
      </c>
      <c r="Q15">
        <f t="shared" si="8"/>
        <v>-0.22957894736842108</v>
      </c>
      <c r="R15">
        <f t="shared" si="8"/>
        <v>1.2815789473684212</v>
      </c>
      <c r="S15">
        <f t="shared" si="8"/>
        <v>-0.22968421052631577</v>
      </c>
      <c r="T15">
        <f t="shared" si="8"/>
        <v>-0.54621052631578948</v>
      </c>
      <c r="U15">
        <f t="shared" si="8"/>
        <v>-0.12678947368421054</v>
      </c>
      <c r="V15">
        <f t="shared" si="8"/>
        <v>-0.34536842105263155</v>
      </c>
      <c r="W15">
        <f t="shared" si="8"/>
        <v>-0.41826315789473684</v>
      </c>
      <c r="X15">
        <f t="shared" si="8"/>
        <v>-0.40515789473684205</v>
      </c>
      <c r="Y15">
        <f t="shared" si="8"/>
        <v>-0.56336842105263152</v>
      </c>
      <c r="Z15">
        <f t="shared" si="8"/>
        <v>0.9905263157894737</v>
      </c>
      <c r="AA15">
        <f t="shared" si="8"/>
        <v>-0.4708421052631579</v>
      </c>
      <c r="AB15">
        <f t="shared" si="8"/>
        <v>-0.21863157894736837</v>
      </c>
      <c r="AC15">
        <f t="shared" si="8"/>
        <v>0.4126315789473684</v>
      </c>
      <c r="AD15">
        <f t="shared" si="8"/>
        <v>-0.30389473684210527</v>
      </c>
      <c r="AE15">
        <f t="shared" si="8"/>
        <v>-6.6315789473684217E-2</v>
      </c>
      <c r="AF15">
        <f t="shared" si="8"/>
        <v>-0.5224210526315789</v>
      </c>
      <c r="AG15">
        <f t="shared" si="8"/>
        <v>0.14578947368421052</v>
      </c>
      <c r="AH15">
        <f t="shared" si="8"/>
        <v>-0.23626315789473684</v>
      </c>
      <c r="AI15">
        <f t="shared" si="8"/>
        <v>-0.39294736842105266</v>
      </c>
      <c r="AJ15">
        <f t="shared" si="8"/>
        <v>-0.30084210526315791</v>
      </c>
      <c r="AK15">
        <f t="shared" si="8"/>
        <v>-7.3684210526315783E-2</v>
      </c>
      <c r="AL15">
        <f t="shared" si="8"/>
        <v>0.45052631578947372</v>
      </c>
      <c r="AM15">
        <f t="shared" si="8"/>
        <v>6.4489473684210532</v>
      </c>
      <c r="AN15">
        <f t="shared" si="8"/>
        <v>-0.40794736842105261</v>
      </c>
      <c r="AO15">
        <f t="shared" si="8"/>
        <v>-0.41273684210526312</v>
      </c>
      <c r="AP15">
        <f t="shared" si="8"/>
        <v>-0.33757894736842109</v>
      </c>
      <c r="AQ15">
        <f t="shared" si="8"/>
        <v>-0.22205263157894739</v>
      </c>
      <c r="AR15">
        <f t="shared" si="8"/>
        <v>-0.14452631578947367</v>
      </c>
      <c r="AS15">
        <f t="shared" si="8"/>
        <v>-0.55668421052631578</v>
      </c>
      <c r="AT15">
        <f t="shared" si="8"/>
        <v>-0.56221052631578949</v>
      </c>
      <c r="AU15">
        <f t="shared" si="8"/>
        <v>-0.47015789473684205</v>
      </c>
      <c r="AV15">
        <f t="shared" si="8"/>
        <v>2.1052631578947385E-2</v>
      </c>
      <c r="AW15">
        <f t="shared" si="8"/>
        <v>-0.52573684210526317</v>
      </c>
      <c r="AX15">
        <f t="shared" si="8"/>
        <v>-0.44363157894736843</v>
      </c>
      <c r="AY15">
        <f t="shared" si="8"/>
        <v>-0.28015789473684211</v>
      </c>
      <c r="AZ15">
        <f t="shared" si="8"/>
        <v>-0.18715789473684208</v>
      </c>
      <c r="BA15">
        <f t="shared" si="8"/>
        <v>-0.33973684210526311</v>
      </c>
      <c r="BB15">
        <f t="shared" si="8"/>
        <v>-0.41663157894736846</v>
      </c>
      <c r="BC15">
        <f t="shared" si="8"/>
        <v>-0.41400000000000003</v>
      </c>
      <c r="BD15">
        <f t="shared" si="8"/>
        <v>-0.38652631578947372</v>
      </c>
      <c r="BE15">
        <f t="shared" si="8"/>
        <v>-0.19168421052631576</v>
      </c>
      <c r="BF15">
        <f t="shared" si="8"/>
        <v>-0.39536842105263154</v>
      </c>
      <c r="BG15">
        <f t="shared" si="8"/>
        <v>-0.36763157894736842</v>
      </c>
      <c r="BH15">
        <f t="shared" si="8"/>
        <v>-0.36763157894736842</v>
      </c>
      <c r="BI15">
        <f t="shared" si="8"/>
        <v>0.15684210526315787</v>
      </c>
      <c r="BJ15">
        <f t="shared" si="8"/>
        <v>-5.526315789473682E-2</v>
      </c>
      <c r="BK15">
        <f t="shared" si="8"/>
        <v>0.41</v>
      </c>
      <c r="BL15">
        <f>(BL11-0.1177)/0.19</f>
        <v>2.4721052631578946</v>
      </c>
      <c r="BM15">
        <f t="shared" ref="BM15:BQ15" si="9">(BM11-0.1177)/0.19</f>
        <v>-0.50626315789473686</v>
      </c>
      <c r="BN15">
        <f t="shared" si="9"/>
        <v>-0.13668421052631574</v>
      </c>
      <c r="BO15">
        <f t="shared" si="9"/>
        <v>-0.61947368421052629</v>
      </c>
      <c r="BP15">
        <f t="shared" si="9"/>
        <v>0.5457894736842106</v>
      </c>
      <c r="BQ15">
        <f t="shared" si="9"/>
        <v>2.5594736842105261</v>
      </c>
    </row>
    <row r="16" spans="1:71" x14ac:dyDescent="0.45">
      <c r="A16" s="5" t="s">
        <v>44</v>
      </c>
      <c r="B16">
        <f t="shared" ref="B16:BK16" si="10">(B12-1.18223)/1.67</f>
        <v>-0.36275044631511938</v>
      </c>
      <c r="C16">
        <f t="shared" si="10"/>
        <v>0.56823605519543652</v>
      </c>
      <c r="D16">
        <f t="shared" si="10"/>
        <v>0.96199609829419375</v>
      </c>
      <c r="E16">
        <f t="shared" si="10"/>
        <v>1.7700124835004858</v>
      </c>
      <c r="F16">
        <f t="shared" si="10"/>
        <v>-0.24833790778851197</v>
      </c>
      <c r="G16">
        <f t="shared" si="10"/>
        <v>-0.40031059389178686</v>
      </c>
      <c r="H16">
        <f t="shared" si="10"/>
        <v>-0.65501851107125919</v>
      </c>
      <c r="I16">
        <f t="shared" si="10"/>
        <v>-0.50090607752188765</v>
      </c>
      <c r="J16">
        <f t="shared" si="10"/>
        <v>-0.68623171261369709</v>
      </c>
      <c r="K16">
        <f t="shared" si="10"/>
        <v>-0.67767236503965933</v>
      </c>
      <c r="L16">
        <f t="shared" si="10"/>
        <v>8.243900057386952E-2</v>
      </c>
      <c r="M16">
        <f t="shared" si="10"/>
        <v>1.7857765916423305</v>
      </c>
      <c r="N16">
        <f t="shared" si="10"/>
        <v>0.35551788976813931</v>
      </c>
      <c r="O16">
        <f t="shared" si="10"/>
        <v>-0.34308836054588143</v>
      </c>
      <c r="P16">
        <f t="shared" si="10"/>
        <v>-0.38834789024907512</v>
      </c>
      <c r="Q16">
        <f t="shared" si="10"/>
        <v>-0.28792608133342068</v>
      </c>
      <c r="R16">
        <f t="shared" si="10"/>
        <v>1.248403299120451</v>
      </c>
      <c r="S16">
        <f t="shared" si="10"/>
        <v>-0.40500545424855722</v>
      </c>
      <c r="T16">
        <f t="shared" si="10"/>
        <v>-0.55529476574583725</v>
      </c>
      <c r="U16">
        <f t="shared" si="10"/>
        <v>-0.18689636917868291</v>
      </c>
      <c r="V16">
        <f t="shared" si="10"/>
        <v>-0.49365150188507662</v>
      </c>
      <c r="W16">
        <f t="shared" si="10"/>
        <v>-0.42480954213475358</v>
      </c>
      <c r="X16">
        <f t="shared" si="10"/>
        <v>-0.33203717329878968</v>
      </c>
      <c r="Y16">
        <f t="shared" si="10"/>
        <v>-0.52281797458773771</v>
      </c>
      <c r="Z16">
        <f t="shared" si="10"/>
        <v>1.8372991840909179</v>
      </c>
      <c r="AA16">
        <f t="shared" si="10"/>
        <v>-0.14751749992500046</v>
      </c>
      <c r="AB16">
        <f t="shared" si="10"/>
        <v>-0.49076358486669308</v>
      </c>
      <c r="AC16">
        <f t="shared" si="10"/>
        <v>0.46034013594088796</v>
      </c>
      <c r="AD16">
        <f t="shared" si="10"/>
        <v>-0.38452568410993637</v>
      </c>
      <c r="AE16">
        <f t="shared" si="10"/>
        <v>-0.28043752423663354</v>
      </c>
      <c r="AF16">
        <f t="shared" si="10"/>
        <v>-0.63247965078760759</v>
      </c>
      <c r="AG16">
        <f t="shared" si="10"/>
        <v>-0.15941273684239857</v>
      </c>
      <c r="AH16">
        <f t="shared" si="10"/>
        <v>-0.54608891162223838</v>
      </c>
      <c r="AI16">
        <f t="shared" si="10"/>
        <v>-0.62251017527550989</v>
      </c>
      <c r="AJ16">
        <f t="shared" si="10"/>
        <v>-0.55024176548045878</v>
      </c>
      <c r="AK16">
        <f t="shared" si="10"/>
        <v>-0.14724473711798861</v>
      </c>
      <c r="AL16">
        <f t="shared" si="10"/>
        <v>0.75087490561955961</v>
      </c>
      <c r="AM16">
        <f t="shared" si="10"/>
        <v>0.53518378165622804</v>
      </c>
      <c r="AN16">
        <f t="shared" si="10"/>
        <v>-0.47270502716380186</v>
      </c>
      <c r="AO16">
        <f t="shared" si="10"/>
        <v>-0.4756816437832736</v>
      </c>
      <c r="AP16">
        <f t="shared" si="10"/>
        <v>-8.3313629669726566E-2</v>
      </c>
      <c r="AQ16">
        <f t="shared" si="10"/>
        <v>-0.48144088447168154</v>
      </c>
      <c r="AR16">
        <f t="shared" si="10"/>
        <v>-0.24015174143456036</v>
      </c>
      <c r="AS16">
        <f t="shared" si="10"/>
        <v>-0.57687467501530554</v>
      </c>
      <c r="AT16">
        <f t="shared" si="10"/>
        <v>-0.65998363207222188</v>
      </c>
      <c r="AU16">
        <f t="shared" si="10"/>
        <v>-0.5190742065592312</v>
      </c>
      <c r="AV16">
        <f t="shared" si="10"/>
        <v>-0.19806090520952668</v>
      </c>
      <c r="AW16">
        <f t="shared" si="10"/>
        <v>-0.60507599710135507</v>
      </c>
      <c r="AX16">
        <f t="shared" si="10"/>
        <v>-0.46924810908819675</v>
      </c>
      <c r="AY16">
        <f t="shared" si="10"/>
        <v>-0.22698047076710787</v>
      </c>
      <c r="AZ16">
        <f t="shared" si="10"/>
        <v>0.8908699590807414</v>
      </c>
      <c r="BA16">
        <f t="shared" si="10"/>
        <v>-9.9351745918645568E-2</v>
      </c>
      <c r="BB16">
        <f t="shared" si="10"/>
        <v>-0.44331568049152797</v>
      </c>
      <c r="BC16">
        <f t="shared" si="10"/>
        <v>-0.56982947861207234</v>
      </c>
      <c r="BD16">
        <f t="shared" si="10"/>
        <v>-0.40035095031173712</v>
      </c>
      <c r="BE16">
        <f t="shared" si="10"/>
        <v>-0.1160124049166176</v>
      </c>
      <c r="BF16">
        <f t="shared" si="10"/>
        <v>-0.41253787099047434</v>
      </c>
      <c r="BG16">
        <f t="shared" si="10"/>
        <v>-0.20458084073415109</v>
      </c>
      <c r="BH16">
        <f t="shared" si="10"/>
        <v>-0.20458084073415109</v>
      </c>
      <c r="BI16">
        <f t="shared" si="10"/>
        <v>0.52797807235504046</v>
      </c>
      <c r="BJ16">
        <f t="shared" si="10"/>
        <v>-0.12628999583610717</v>
      </c>
      <c r="BK16">
        <f t="shared" si="10"/>
        <v>7.420818023962758E-2</v>
      </c>
      <c r="BL16">
        <f>(BL12-1.18223)/1.67</f>
        <v>1.379815074916604</v>
      </c>
      <c r="BM16">
        <f t="shared" ref="BM16:BQ16" si="11">(BM12-1.18223)/1.67</f>
        <v>-0.6163560158401068</v>
      </c>
      <c r="BN16">
        <f t="shared" si="11"/>
        <v>0.329335068399011</v>
      </c>
      <c r="BO16">
        <f t="shared" si="11"/>
        <v>-0.70792215568862271</v>
      </c>
      <c r="BP16">
        <f t="shared" si="11"/>
        <v>0.44360164940280344</v>
      </c>
      <c r="BQ16">
        <f t="shared" si="11"/>
        <v>6.3403151438942054</v>
      </c>
    </row>
    <row r="17" spans="1:69" x14ac:dyDescent="0.45">
      <c r="A17" s="5" t="s">
        <v>43</v>
      </c>
      <c r="B17">
        <f t="shared" ref="B17:BK17" si="12">(B13-5.822)/10.732</f>
        <v>-0.2815516608572079</v>
      </c>
      <c r="C17">
        <f t="shared" si="12"/>
        <v>0.44325395397999656</v>
      </c>
      <c r="D17">
        <f t="shared" si="12"/>
        <v>0.53564062458547335</v>
      </c>
      <c r="E17">
        <f t="shared" si="12"/>
        <v>1.0021935894724414</v>
      </c>
      <c r="F17">
        <f t="shared" si="12"/>
        <v>-0.23931320571438103</v>
      </c>
      <c r="G17">
        <f t="shared" si="12"/>
        <v>-0.31477243367906593</v>
      </c>
      <c r="H17">
        <f t="shared" si="12"/>
        <v>-0.5289869340072425</v>
      </c>
      <c r="I17">
        <f t="shared" si="12"/>
        <v>-0.47360096087827064</v>
      </c>
      <c r="J17">
        <f t="shared" si="12"/>
        <v>-0.53738671982479291</v>
      </c>
      <c r="K17">
        <f t="shared" si="12"/>
        <v>-0.5347454823150265</v>
      </c>
      <c r="L17">
        <f t="shared" si="12"/>
        <v>0.16351151568424027</v>
      </c>
      <c r="M17">
        <f t="shared" si="12"/>
        <v>4.5934330570287392</v>
      </c>
      <c r="N17">
        <f t="shared" si="12"/>
        <v>0.46494380361855431</v>
      </c>
      <c r="O17">
        <f t="shared" si="12"/>
        <v>-0.35966837383368988</v>
      </c>
      <c r="P17">
        <f t="shared" si="12"/>
        <v>-0.39822843379840472</v>
      </c>
      <c r="Q17">
        <f t="shared" si="12"/>
        <v>-0.29902988280316295</v>
      </c>
      <c r="R17">
        <f t="shared" si="12"/>
        <v>0.56161377304148896</v>
      </c>
      <c r="S17">
        <f t="shared" si="12"/>
        <v>-0.3974307497974891</v>
      </c>
      <c r="T17">
        <f t="shared" si="12"/>
        <v>-0.41235382447703262</v>
      </c>
      <c r="U17">
        <f t="shared" si="12"/>
        <v>-0.24370609985396191</v>
      </c>
      <c r="V17">
        <f t="shared" si="12"/>
        <v>-0.43952767524741265</v>
      </c>
      <c r="W17">
        <f t="shared" si="12"/>
        <v>-0.35061773999226226</v>
      </c>
      <c r="X17">
        <f t="shared" si="12"/>
        <v>-0.25269488725391498</v>
      </c>
      <c r="Y17">
        <f t="shared" si="12"/>
        <v>-0.33595537005375303</v>
      </c>
      <c r="Z17">
        <f t="shared" si="12"/>
        <v>1.3041217775742937</v>
      </c>
      <c r="AA17">
        <f t="shared" si="12"/>
        <v>0.13358857180709802</v>
      </c>
      <c r="AB17">
        <f t="shared" si="12"/>
        <v>-0.45828634255498779</v>
      </c>
      <c r="AC17">
        <f t="shared" si="12"/>
        <v>0.15463673329997354</v>
      </c>
      <c r="AD17">
        <f t="shared" si="12"/>
        <v>-0.36041933904024537</v>
      </c>
      <c r="AE17">
        <f t="shared" si="12"/>
        <v>-0.33844511691183032</v>
      </c>
      <c r="AF17">
        <f t="shared" si="12"/>
        <v>-0.50635664941393155</v>
      </c>
      <c r="AG17">
        <f t="shared" si="12"/>
        <v>-0.29196004058034303</v>
      </c>
      <c r="AH17">
        <f t="shared" si="12"/>
        <v>-0.48824780107938037</v>
      </c>
      <c r="AI17">
        <f t="shared" si="12"/>
        <v>-0.51569899366256244</v>
      </c>
      <c r="AJ17">
        <f t="shared" si="12"/>
        <v>-0.48450285229276202</v>
      </c>
      <c r="AK17">
        <f t="shared" si="12"/>
        <v>-0.22638015308176423</v>
      </c>
      <c r="AL17">
        <f t="shared" si="12"/>
        <v>0.42809580023433175</v>
      </c>
      <c r="AM17">
        <f t="shared" si="12"/>
        <v>-0.29291397414010051</v>
      </c>
      <c r="AN17">
        <f t="shared" si="12"/>
        <v>-0.40358135946319357</v>
      </c>
      <c r="AO17">
        <f t="shared" si="12"/>
        <v>-0.40452098619847898</v>
      </c>
      <c r="AP17">
        <f t="shared" si="12"/>
        <v>9.6339770683103749E-3</v>
      </c>
      <c r="AQ17">
        <f t="shared" si="12"/>
        <v>-0.45203263116692632</v>
      </c>
      <c r="AR17">
        <f t="shared" si="12"/>
        <v>-0.28518319266160647</v>
      </c>
      <c r="AS17">
        <f t="shared" si="12"/>
        <v>-0.43063395196260051</v>
      </c>
      <c r="AT17">
        <f t="shared" si="12"/>
        <v>-0.51851178975076972</v>
      </c>
      <c r="AU17">
        <f t="shared" si="12"/>
        <v>-0.42224215083456396</v>
      </c>
      <c r="AV17">
        <f t="shared" si="12"/>
        <v>-0.29487834151288933</v>
      </c>
      <c r="AW17">
        <f t="shared" si="12"/>
        <v>-0.48222841620655837</v>
      </c>
      <c r="AX17">
        <f t="shared" si="12"/>
        <v>-0.38410413543414118</v>
      </c>
      <c r="AY17">
        <f t="shared" si="12"/>
        <v>-0.21514518294992857</v>
      </c>
      <c r="AZ17">
        <f t="shared" si="12"/>
        <v>1.3646087872518555</v>
      </c>
      <c r="BA17">
        <f t="shared" si="12"/>
        <v>-1.0280289990548227E-2</v>
      </c>
      <c r="BB17">
        <f t="shared" si="12"/>
        <v>-0.37092619785567632</v>
      </c>
      <c r="BC17">
        <f t="shared" si="12"/>
        <v>-0.48174777609044395</v>
      </c>
      <c r="BD17">
        <f t="shared" si="12"/>
        <v>-0.34165491657559188</v>
      </c>
      <c r="BE17">
        <f t="shared" si="12"/>
        <v>-0.14525519300424969</v>
      </c>
      <c r="BF17">
        <f t="shared" si="12"/>
        <v>-0.34980804005691951</v>
      </c>
      <c r="BG17">
        <f t="shared" si="12"/>
        <v>-0.1236100539038044</v>
      </c>
      <c r="BH17">
        <f t="shared" si="12"/>
        <v>-0.1236100539038044</v>
      </c>
      <c r="BI17">
        <f t="shared" si="12"/>
        <v>0.35786780379611344</v>
      </c>
      <c r="BJ17">
        <f t="shared" si="12"/>
        <v>-0.21389404617546071</v>
      </c>
      <c r="BK17">
        <f t="shared" si="12"/>
        <v>-0.17287427007260373</v>
      </c>
      <c r="BL17">
        <f>(BL13-5.822)/10.732</f>
        <v>0.37840835330321948</v>
      </c>
      <c r="BM17">
        <f t="shared" ref="BM17:BQ17" si="13">(BM13-5.822)/10.732</f>
        <v>-0.4976038815828619</v>
      </c>
      <c r="BN17">
        <f t="shared" si="13"/>
        <v>0.35800260929398359</v>
      </c>
      <c r="BO17">
        <f t="shared" si="13"/>
        <v>-0.54248975027953783</v>
      </c>
      <c r="BP17">
        <f t="shared" si="13"/>
        <v>9.2177568475826713E-2</v>
      </c>
      <c r="BQ17">
        <f t="shared" si="13"/>
        <v>5.6901299766117983</v>
      </c>
    </row>
    <row r="19" spans="1:69" x14ac:dyDescent="0.45"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  <c r="N19" t="s">
        <v>12</v>
      </c>
      <c r="O19" t="s">
        <v>13</v>
      </c>
      <c r="P19" t="s">
        <v>14</v>
      </c>
      <c r="Q19" t="s">
        <v>15</v>
      </c>
      <c r="R19" t="s">
        <v>16</v>
      </c>
      <c r="S19" t="s">
        <v>17</v>
      </c>
      <c r="T19" t="s">
        <v>18</v>
      </c>
      <c r="U19" t="s">
        <v>19</v>
      </c>
      <c r="V19" t="s">
        <v>20</v>
      </c>
      <c r="W19" t="s">
        <v>21</v>
      </c>
      <c r="X19" t="s">
        <v>22</v>
      </c>
      <c r="Y19" t="s">
        <v>23</v>
      </c>
      <c r="Z19" t="s">
        <v>24</v>
      </c>
      <c r="AA19" t="s">
        <v>25</v>
      </c>
      <c r="AB19" t="s">
        <v>26</v>
      </c>
      <c r="AC19" t="s">
        <v>27</v>
      </c>
      <c r="AD19" t="s">
        <v>28</v>
      </c>
      <c r="AE19" t="s">
        <v>29</v>
      </c>
      <c r="AF19" t="s">
        <v>30</v>
      </c>
      <c r="AG19" t="s">
        <v>31</v>
      </c>
      <c r="AH19" t="s">
        <v>32</v>
      </c>
      <c r="AI19" t="s">
        <v>33</v>
      </c>
      <c r="AJ19" t="s">
        <v>34</v>
      </c>
      <c r="AK19" t="s">
        <v>35</v>
      </c>
      <c r="AL19" t="s">
        <v>36</v>
      </c>
      <c r="AM19" t="s">
        <v>37</v>
      </c>
      <c r="AN19" t="s">
        <v>49</v>
      </c>
      <c r="AO19" t="s">
        <v>17</v>
      </c>
      <c r="AP19" t="s">
        <v>50</v>
      </c>
      <c r="AQ19" t="s">
        <v>51</v>
      </c>
      <c r="AR19" t="s">
        <v>52</v>
      </c>
      <c r="AS19" t="s">
        <v>53</v>
      </c>
      <c r="AT19" t="s">
        <v>54</v>
      </c>
      <c r="AU19" t="s">
        <v>4</v>
      </c>
      <c r="AV19" t="s">
        <v>55</v>
      </c>
      <c r="AW19" t="s">
        <v>56</v>
      </c>
      <c r="AX19" t="s">
        <v>57</v>
      </c>
      <c r="AY19" t="s">
        <v>58</v>
      </c>
      <c r="AZ19" t="s">
        <v>59</v>
      </c>
      <c r="BA19" t="s">
        <v>60</v>
      </c>
      <c r="BB19" t="s">
        <v>61</v>
      </c>
      <c r="BC19" t="s">
        <v>62</v>
      </c>
      <c r="BD19" t="s">
        <v>63</v>
      </c>
      <c r="BE19" t="s">
        <v>64</v>
      </c>
      <c r="BF19" t="s">
        <v>65</v>
      </c>
      <c r="BG19" t="s">
        <v>66</v>
      </c>
      <c r="BH19" t="s">
        <v>67</v>
      </c>
      <c r="BI19" t="s">
        <v>68</v>
      </c>
      <c r="BJ19" t="s">
        <v>69</v>
      </c>
      <c r="BK19" t="s">
        <v>70</v>
      </c>
      <c r="BL19" t="s">
        <v>71</v>
      </c>
      <c r="BM19" t="s">
        <v>73</v>
      </c>
      <c r="BN19" t="s">
        <v>74</v>
      </c>
      <c r="BO19" t="s">
        <v>75</v>
      </c>
      <c r="BP19" t="s">
        <v>76</v>
      </c>
      <c r="BQ19" t="s">
        <v>77</v>
      </c>
    </row>
    <row r="20" spans="1:69" x14ac:dyDescent="0.45">
      <c r="A20" t="s">
        <v>45</v>
      </c>
      <c r="B20">
        <v>3.8670000000000003E-2</v>
      </c>
      <c r="C20">
        <v>0.13780000000000001</v>
      </c>
      <c r="D20">
        <v>0.245</v>
      </c>
      <c r="E20">
        <v>0.38600000000000001</v>
      </c>
      <c r="F20">
        <v>6.4990000000000006E-2</v>
      </c>
      <c r="G20">
        <v>3.5720000000000002E-2</v>
      </c>
      <c r="H20">
        <v>3.7920000000000002E-2</v>
      </c>
      <c r="I20">
        <v>9.4289999999999999E-2</v>
      </c>
      <c r="J20">
        <v>1.787E-2</v>
      </c>
      <c r="K20">
        <v>2.1569999999999999E-2</v>
      </c>
      <c r="L20">
        <v>6.6570000000000004E-2</v>
      </c>
      <c r="M20">
        <v>5.0369999999999998E-2</v>
      </c>
      <c r="N20">
        <v>8.1009999999999999E-2</v>
      </c>
      <c r="O20">
        <v>8.2540000000000002E-2</v>
      </c>
      <c r="P20">
        <v>8.6430000000000007E-2</v>
      </c>
      <c r="Q20">
        <v>7.4079999999999993E-2</v>
      </c>
      <c r="R20">
        <v>0.36120000000000002</v>
      </c>
      <c r="S20">
        <v>7.4060000000000001E-2</v>
      </c>
      <c r="T20">
        <v>1.392E-2</v>
      </c>
      <c r="U20">
        <v>9.3609999999999999E-2</v>
      </c>
      <c r="V20">
        <v>5.2080000000000001E-2</v>
      </c>
      <c r="W20">
        <v>3.823E-2</v>
      </c>
      <c r="X20">
        <v>4.0719999999999999E-2</v>
      </c>
      <c r="Y20">
        <v>1.0659999999999999E-2</v>
      </c>
      <c r="Z20">
        <v>0.30590000000000001</v>
      </c>
      <c r="AA20">
        <v>2.8240000000000001E-2</v>
      </c>
      <c r="AB20">
        <v>7.6160000000000005E-2</v>
      </c>
      <c r="AC20">
        <v>0.1961</v>
      </c>
      <c r="AD20">
        <v>5.9959999999999999E-2</v>
      </c>
      <c r="AE20">
        <v>0.1051</v>
      </c>
      <c r="AF20">
        <v>1.8440000000000002E-2</v>
      </c>
      <c r="AG20">
        <v>0.1454</v>
      </c>
      <c r="AH20">
        <v>7.281E-2</v>
      </c>
      <c r="AI20">
        <v>4.3040000000000002E-2</v>
      </c>
      <c r="AJ20">
        <v>6.0539999999999997E-2</v>
      </c>
      <c r="AK20">
        <v>0.1037</v>
      </c>
      <c r="AL20">
        <v>0.20330000000000001</v>
      </c>
      <c r="AM20">
        <v>1.343</v>
      </c>
      <c r="AN20">
        <v>4.0189999999999997E-2</v>
      </c>
      <c r="AO20">
        <v>3.9280000000000002E-2</v>
      </c>
      <c r="AP20">
        <v>5.3560000000000003E-2</v>
      </c>
      <c r="AQ20">
        <v>7.5509999999999994E-2</v>
      </c>
      <c r="AR20">
        <v>9.0240000000000001E-2</v>
      </c>
      <c r="AS20">
        <v>1.193E-2</v>
      </c>
      <c r="AT20">
        <v>1.0880000000000001E-2</v>
      </c>
      <c r="AU20">
        <v>2.8369999999999999E-2</v>
      </c>
      <c r="AV20">
        <v>0.1217</v>
      </c>
      <c r="AW20">
        <v>1.7809999999999999E-2</v>
      </c>
      <c r="AX20">
        <v>3.3410000000000002E-2</v>
      </c>
      <c r="AY20">
        <v>6.447E-2</v>
      </c>
      <c r="AZ20">
        <v>8.2140000000000005E-2</v>
      </c>
      <c r="BA20">
        <v>5.3150000000000003E-2</v>
      </c>
      <c r="BB20">
        <v>3.8539999999999998E-2</v>
      </c>
      <c r="BC20">
        <v>3.9039999999999998E-2</v>
      </c>
      <c r="BD20">
        <v>4.4260000000000001E-2</v>
      </c>
      <c r="BE20">
        <v>8.1280000000000005E-2</v>
      </c>
      <c r="BF20">
        <v>4.258E-2</v>
      </c>
      <c r="BG20">
        <v>4.7849999999999997E-2</v>
      </c>
      <c r="BH20">
        <v>4.7849999999999997E-2</v>
      </c>
      <c r="BI20">
        <v>0.14749999999999999</v>
      </c>
      <c r="BJ20">
        <v>0.1072</v>
      </c>
      <c r="BK20">
        <v>0.1956</v>
      </c>
      <c r="BL20">
        <v>0.58740000000000003</v>
      </c>
      <c r="BM20">
        <v>2.1510000000000001E-2</v>
      </c>
      <c r="BN20">
        <v>9.1730000000000006E-2</v>
      </c>
      <c r="BO20">
        <v>0</v>
      </c>
      <c r="BP20">
        <v>0.22140000000000001</v>
      </c>
      <c r="BQ20">
        <v>0.60399999999999998</v>
      </c>
    </row>
    <row r="21" spans="1:69" x14ac:dyDescent="0.45">
      <c r="A21" t="s">
        <v>44</v>
      </c>
      <c r="B21">
        <v>0.57643675465375055</v>
      </c>
      <c r="C21">
        <v>2.1311842121763789</v>
      </c>
      <c r="D21">
        <v>2.7887634841513034</v>
      </c>
      <c r="E21">
        <v>4.1381508474458109</v>
      </c>
      <c r="F21">
        <v>0.76750569399318491</v>
      </c>
      <c r="G21">
        <v>0.51371130820071587</v>
      </c>
      <c r="H21">
        <v>8.8349086510997127E-2</v>
      </c>
      <c r="I21">
        <v>0.34571685053844753</v>
      </c>
      <c r="J21">
        <v>3.6223039935125816E-2</v>
      </c>
      <c r="K21">
        <v>5.0517150383768916E-2</v>
      </c>
      <c r="L21">
        <v>1.319903130958362</v>
      </c>
      <c r="M21">
        <v>4.1644769080426913</v>
      </c>
      <c r="N21">
        <v>1.7759448759127925</v>
      </c>
      <c r="O21">
        <v>0.60927243788837793</v>
      </c>
      <c r="P21">
        <v>0.53368902328404444</v>
      </c>
      <c r="Q21">
        <v>0.70139344417318739</v>
      </c>
      <c r="R21">
        <v>3.2670635095311531</v>
      </c>
      <c r="S21">
        <v>0.50587089140490937</v>
      </c>
      <c r="T21">
        <v>0.25488774120445173</v>
      </c>
      <c r="U21">
        <v>0.87011306347159945</v>
      </c>
      <c r="V21">
        <v>0.35783199185192188</v>
      </c>
      <c r="W21">
        <v>0.47279806463496149</v>
      </c>
      <c r="X21">
        <v>0.62772792059102112</v>
      </c>
      <c r="Y21">
        <v>0.30912398243847794</v>
      </c>
      <c r="Z21">
        <v>4.2505196374318324</v>
      </c>
      <c r="AA21">
        <v>0.93587577512524911</v>
      </c>
      <c r="AB21">
        <v>0.3626548132726225</v>
      </c>
      <c r="AC21">
        <v>1.9509980270212828</v>
      </c>
      <c r="AD21">
        <v>0.54007210753640622</v>
      </c>
      <c r="AE21">
        <v>0.7138993345248219</v>
      </c>
      <c r="AF21">
        <v>0.12598898318469523</v>
      </c>
      <c r="AG21">
        <v>0.91601072947319429</v>
      </c>
      <c r="AH21">
        <v>0.27026151759086181</v>
      </c>
      <c r="AI21">
        <v>0.14263800728989859</v>
      </c>
      <c r="AJ21">
        <v>0.26332625164763374</v>
      </c>
      <c r="AK21">
        <v>0.93633128901295892</v>
      </c>
      <c r="AL21">
        <v>2.4361910923846644</v>
      </c>
      <c r="AM21">
        <v>2.0759869153659007</v>
      </c>
      <c r="AN21">
        <v>0.39281260463645079</v>
      </c>
      <c r="AO21">
        <v>0.38784165488193301</v>
      </c>
      <c r="AP21">
        <v>1.0430962384515565</v>
      </c>
      <c r="AQ21">
        <v>0.37822372293229178</v>
      </c>
      <c r="AR21">
        <v>0.78117659180428412</v>
      </c>
      <c r="AS21">
        <v>0.21884929272443976</v>
      </c>
      <c r="AT21">
        <v>8.005733443938931E-2</v>
      </c>
      <c r="AU21">
        <v>0.31537607504608389</v>
      </c>
      <c r="AV21">
        <v>0.85146828830009036</v>
      </c>
      <c r="AW21">
        <v>0.1717530848407369</v>
      </c>
      <c r="AX21">
        <v>0.39858565782271144</v>
      </c>
      <c r="AY21">
        <v>0.80317261381892979</v>
      </c>
      <c r="AZ21">
        <v>2.669982831664838</v>
      </c>
      <c r="BA21">
        <v>1.0163125843158618</v>
      </c>
      <c r="BB21">
        <v>0.44189281357914828</v>
      </c>
      <c r="BC21">
        <v>0.23061477071783906</v>
      </c>
      <c r="BD21">
        <v>0.51364391297939893</v>
      </c>
      <c r="BE21">
        <v>0.9884892837892485</v>
      </c>
      <c r="BF21">
        <v>0.4932917554459077</v>
      </c>
      <c r="BG21">
        <v>0.8405799959739676</v>
      </c>
      <c r="BH21">
        <v>0.8405799959739676</v>
      </c>
      <c r="BI21">
        <v>2.0639533808329174</v>
      </c>
      <c r="BJ21">
        <v>0.97132570695370091</v>
      </c>
      <c r="BK21">
        <v>1.3061576610001779</v>
      </c>
      <c r="BL21">
        <v>3.4865211751107288</v>
      </c>
      <c r="BM21">
        <v>0.15291545354702152</v>
      </c>
      <c r="BN21">
        <v>1.7322195642263483</v>
      </c>
      <c r="BO21">
        <v>0</v>
      </c>
      <c r="BP21">
        <v>1.9230447545026816</v>
      </c>
      <c r="BQ21">
        <v>11.770556290303324</v>
      </c>
    </row>
    <row r="22" spans="1:69" x14ac:dyDescent="0.45">
      <c r="A22" t="s">
        <v>43</v>
      </c>
      <c r="B22">
        <v>2.8003875756804453</v>
      </c>
      <c r="C22">
        <v>10.579001434113323</v>
      </c>
      <c r="D22">
        <v>11.5704951830513</v>
      </c>
      <c r="E22">
        <v>16.57754160221824</v>
      </c>
      <c r="F22">
        <v>3.2536906762732629</v>
      </c>
      <c r="G22">
        <v>2.443862241756265</v>
      </c>
      <c r="H22">
        <v>0.14491222423427322</v>
      </c>
      <c r="I22">
        <v>0.73931448785440024</v>
      </c>
      <c r="J22">
        <v>5.4765722840322932E-2</v>
      </c>
      <c r="K22">
        <v>8.3111483795136359E-2</v>
      </c>
      <c r="L22">
        <v>7.5768055863232666</v>
      </c>
      <c r="M22">
        <v>55.118723568032429</v>
      </c>
      <c r="N22">
        <v>10.811776900434324</v>
      </c>
      <c r="O22">
        <v>1.9620390120168407</v>
      </c>
      <c r="P22">
        <v>1.5482124484755211</v>
      </c>
      <c r="Q22">
        <v>2.6128112977564553</v>
      </c>
      <c r="R22">
        <v>11.849239012281259</v>
      </c>
      <c r="S22">
        <v>1.5567731931733471</v>
      </c>
      <c r="T22">
        <v>1.3966187557124865</v>
      </c>
      <c r="U22">
        <v>3.2065461363672809</v>
      </c>
      <c r="V22">
        <v>1.1049889892447677</v>
      </c>
      <c r="W22">
        <v>2.059170414403042</v>
      </c>
      <c r="X22">
        <v>3.1100784699909849</v>
      </c>
      <c r="Y22">
        <v>2.2165269685831226</v>
      </c>
      <c r="Z22">
        <v>19.817834916927318</v>
      </c>
      <c r="AA22">
        <v>7.2556725526337758</v>
      </c>
      <c r="AB22">
        <v>0.90367097169987176</v>
      </c>
      <c r="AC22">
        <v>7.4815614217753161</v>
      </c>
      <c r="AD22">
        <v>1.9539796534200873</v>
      </c>
      <c r="AE22">
        <v>2.1898070053022374</v>
      </c>
      <c r="AF22">
        <v>0.38778043848968735</v>
      </c>
      <c r="AG22">
        <v>2.688684844491759</v>
      </c>
      <c r="AH22">
        <v>0.58212459881609036</v>
      </c>
      <c r="AI22">
        <v>0.28751840001338019</v>
      </c>
      <c r="AJ22">
        <v>0.62231538919407858</v>
      </c>
      <c r="AK22">
        <v>3.3924881971265064</v>
      </c>
      <c r="AL22">
        <v>10.416324128114848</v>
      </c>
      <c r="AM22">
        <v>2.6784472295284418</v>
      </c>
      <c r="AN22">
        <v>1.4907648502410067</v>
      </c>
      <c r="AO22">
        <v>1.4806807761179237</v>
      </c>
      <c r="AP22">
        <v>5.925391841897107</v>
      </c>
      <c r="AQ22">
        <v>0.97078580231654654</v>
      </c>
      <c r="AR22">
        <v>2.7614139763556396</v>
      </c>
      <c r="AS22">
        <v>1.2004364275373716</v>
      </c>
      <c r="AT22">
        <v>0.25733147239473975</v>
      </c>
      <c r="AU22">
        <v>1.2904972372434595</v>
      </c>
      <c r="AV22">
        <v>2.6573656388836722</v>
      </c>
      <c r="AW22">
        <v>0.64672463727121587</v>
      </c>
      <c r="AX22">
        <v>1.6997944185207976</v>
      </c>
      <c r="AY22">
        <v>3.5130618965813669</v>
      </c>
      <c r="AZ22">
        <v>20.466981504786911</v>
      </c>
      <c r="BA22">
        <v>5.7116719278214365</v>
      </c>
      <c r="BB22">
        <v>1.8412200446128824</v>
      </c>
      <c r="BC22">
        <v>0.65188286699735609</v>
      </c>
      <c r="BD22">
        <v>2.1553594353107481</v>
      </c>
      <c r="BE22">
        <v>4.2631212686783924</v>
      </c>
      <c r="BF22">
        <v>2.0678601141091404</v>
      </c>
      <c r="BG22">
        <v>4.4954169015043712</v>
      </c>
      <c r="BH22">
        <v>4.4954169015043712</v>
      </c>
      <c r="BI22">
        <v>9.6626372703398893</v>
      </c>
      <c r="BJ22">
        <v>3.5264890964449558</v>
      </c>
      <c r="BK22">
        <v>3.9667133335808171</v>
      </c>
      <c r="BL22">
        <v>9.883078447650151</v>
      </c>
      <c r="BM22">
        <v>0.48171514285272665</v>
      </c>
      <c r="BN22">
        <v>9.6640840029430315</v>
      </c>
      <c r="BO22">
        <v>0</v>
      </c>
      <c r="BP22">
        <v>6.8112496648825722</v>
      </c>
      <c r="BQ22">
        <v>66.888474908997821</v>
      </c>
    </row>
    <row r="23" spans="1:69" x14ac:dyDescent="0.45">
      <c r="A23" t="s">
        <v>48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  <c r="V23" t="s">
        <v>20</v>
      </c>
      <c r="W23" t="s">
        <v>21</v>
      </c>
      <c r="X23" t="s">
        <v>22</v>
      </c>
      <c r="Y23" t="s">
        <v>23</v>
      </c>
      <c r="Z23" t="s">
        <v>24</v>
      </c>
      <c r="AA23" t="s">
        <v>25</v>
      </c>
      <c r="AB23" t="s">
        <v>26</v>
      </c>
      <c r="AC23" t="s">
        <v>27</v>
      </c>
      <c r="AD23" t="s">
        <v>28</v>
      </c>
      <c r="AE23" t="s">
        <v>29</v>
      </c>
      <c r="AF23" t="s">
        <v>30</v>
      </c>
      <c r="AG23" t="s">
        <v>31</v>
      </c>
      <c r="AH23" t="s">
        <v>32</v>
      </c>
      <c r="AI23" t="s">
        <v>33</v>
      </c>
      <c r="AJ23" t="s">
        <v>34</v>
      </c>
      <c r="AK23" t="s">
        <v>35</v>
      </c>
      <c r="AL23" t="s">
        <v>36</v>
      </c>
      <c r="AM23" t="s">
        <v>37</v>
      </c>
      <c r="AN23" t="s">
        <v>49</v>
      </c>
      <c r="AO23" t="s">
        <v>17</v>
      </c>
      <c r="AP23" t="s">
        <v>50</v>
      </c>
      <c r="AQ23" t="s">
        <v>51</v>
      </c>
      <c r="AR23" t="s">
        <v>52</v>
      </c>
      <c r="AS23" t="s">
        <v>53</v>
      </c>
      <c r="AT23" t="s">
        <v>54</v>
      </c>
      <c r="AU23" t="s">
        <v>4</v>
      </c>
      <c r="AV23" t="s">
        <v>55</v>
      </c>
      <c r="AW23" t="s">
        <v>56</v>
      </c>
      <c r="AX23" t="s">
        <v>57</v>
      </c>
      <c r="AY23" t="s">
        <v>58</v>
      </c>
      <c r="AZ23" t="s">
        <v>59</v>
      </c>
      <c r="BA23" t="s">
        <v>60</v>
      </c>
      <c r="BB23" t="s">
        <v>61</v>
      </c>
      <c r="BC23" t="s">
        <v>62</v>
      </c>
      <c r="BD23" t="s">
        <v>63</v>
      </c>
      <c r="BE23" t="s">
        <v>64</v>
      </c>
      <c r="BF23" t="s">
        <v>65</v>
      </c>
      <c r="BG23" t="s">
        <v>66</v>
      </c>
      <c r="BH23" t="s">
        <v>67</v>
      </c>
      <c r="BI23" t="s">
        <v>68</v>
      </c>
      <c r="BJ23" t="s">
        <v>69</v>
      </c>
      <c r="BK23" t="s">
        <v>70</v>
      </c>
      <c r="BL23" t="s">
        <v>71</v>
      </c>
      <c r="BM23" t="s">
        <v>73</v>
      </c>
      <c r="BN23" t="s">
        <v>74</v>
      </c>
      <c r="BO23" t="s">
        <v>75</v>
      </c>
      <c r="BP23" t="s">
        <v>76</v>
      </c>
      <c r="BQ23" t="s">
        <v>77</v>
      </c>
    </row>
    <row r="24" spans="1:69" x14ac:dyDescent="0.45">
      <c r="A24" t="s">
        <v>45</v>
      </c>
      <c r="B24">
        <v>-0.41594736842105257</v>
      </c>
      <c r="C24">
        <v>0.10578947368421056</v>
      </c>
      <c r="D24">
        <v>0.66999999999999993</v>
      </c>
      <c r="E24">
        <v>1.4121052631578945</v>
      </c>
      <c r="F24">
        <v>-0.2774210526315789</v>
      </c>
      <c r="G24">
        <v>-0.43147368421052629</v>
      </c>
      <c r="H24">
        <v>-0.41989473684210521</v>
      </c>
      <c r="I24">
        <v>-0.12321052631578948</v>
      </c>
      <c r="J24">
        <v>-0.5254210526315789</v>
      </c>
      <c r="K24">
        <v>-0.50594736842105259</v>
      </c>
      <c r="L24">
        <v>-0.26910526315789468</v>
      </c>
      <c r="M24">
        <v>-0.35436842105263155</v>
      </c>
      <c r="N24">
        <v>-0.19310526315789472</v>
      </c>
      <c r="O24">
        <v>-0.18505263157894736</v>
      </c>
      <c r="P24">
        <v>-0.16457894736842102</v>
      </c>
      <c r="Q24">
        <v>-0.22957894736842108</v>
      </c>
      <c r="R24">
        <v>1.2815789473684212</v>
      </c>
      <c r="S24">
        <v>-0.22968421052631577</v>
      </c>
      <c r="T24">
        <v>-0.54621052631578948</v>
      </c>
      <c r="U24">
        <v>-0.12678947368421054</v>
      </c>
      <c r="V24">
        <v>-0.34536842105263155</v>
      </c>
      <c r="W24">
        <v>-0.41826315789473684</v>
      </c>
      <c r="X24">
        <v>-0.40515789473684205</v>
      </c>
      <c r="Y24">
        <v>-0.56336842105263152</v>
      </c>
      <c r="Z24">
        <v>0.9905263157894737</v>
      </c>
      <c r="AA24">
        <v>-0.4708421052631579</v>
      </c>
      <c r="AB24">
        <v>-0.21863157894736837</v>
      </c>
      <c r="AC24">
        <v>0.4126315789473684</v>
      </c>
      <c r="AD24">
        <v>-0.30389473684210527</v>
      </c>
      <c r="AE24">
        <v>-6.6315789473684217E-2</v>
      </c>
      <c r="AF24">
        <v>-0.5224210526315789</v>
      </c>
      <c r="AG24">
        <v>0.14578947368421052</v>
      </c>
      <c r="AH24">
        <v>-0.23626315789473684</v>
      </c>
      <c r="AI24">
        <v>-0.39294736842105266</v>
      </c>
      <c r="AJ24">
        <v>-0.30084210526315791</v>
      </c>
      <c r="AK24">
        <v>-7.3684210526315783E-2</v>
      </c>
      <c r="AL24">
        <v>0.45052631578947372</v>
      </c>
      <c r="AM24">
        <v>6.4489473684210532</v>
      </c>
      <c r="AN24">
        <v>-0.40794736842105261</v>
      </c>
      <c r="AO24">
        <v>-0.41273684210526312</v>
      </c>
      <c r="AP24">
        <v>-0.33757894736842109</v>
      </c>
      <c r="AQ24">
        <v>-0.22205263157894739</v>
      </c>
      <c r="AR24">
        <v>-0.14452631578947367</v>
      </c>
      <c r="AS24">
        <v>-0.55668421052631578</v>
      </c>
      <c r="AT24">
        <v>-0.56221052631578949</v>
      </c>
      <c r="AU24">
        <v>-0.47015789473684205</v>
      </c>
      <c r="AV24">
        <v>2.1052631578947385E-2</v>
      </c>
      <c r="AW24">
        <v>-0.52573684210526317</v>
      </c>
      <c r="AX24">
        <v>-0.44363157894736843</v>
      </c>
      <c r="AY24">
        <v>-0.28015789473684211</v>
      </c>
      <c r="AZ24">
        <v>-0.18715789473684208</v>
      </c>
      <c r="BA24">
        <v>-0.33973684210526311</v>
      </c>
      <c r="BB24">
        <v>-0.41663157894736846</v>
      </c>
      <c r="BC24">
        <v>-0.41400000000000003</v>
      </c>
      <c r="BD24">
        <v>-0.38652631578947372</v>
      </c>
      <c r="BE24">
        <v>-0.19168421052631576</v>
      </c>
      <c r="BF24">
        <v>-0.39536842105263154</v>
      </c>
      <c r="BG24">
        <v>-0.36763157894736842</v>
      </c>
      <c r="BH24">
        <v>-0.36763157894736842</v>
      </c>
      <c r="BI24">
        <v>0.15684210526315787</v>
      </c>
      <c r="BJ24">
        <v>-5.526315789473682E-2</v>
      </c>
      <c r="BK24">
        <v>0.41</v>
      </c>
      <c r="BL24">
        <v>2.4721052631578946</v>
      </c>
      <c r="BM24">
        <v>-0.50626315789473686</v>
      </c>
      <c r="BN24">
        <v>-0.13668421052631574</v>
      </c>
      <c r="BO24">
        <v>-0.61947368421052629</v>
      </c>
      <c r="BP24">
        <v>0.5457894736842106</v>
      </c>
      <c r="BQ24">
        <v>2.5594736842105261</v>
      </c>
    </row>
    <row r="25" spans="1:69" x14ac:dyDescent="0.45">
      <c r="A25" t="s">
        <v>44</v>
      </c>
      <c r="B25">
        <v>-0.36275044631511938</v>
      </c>
      <c r="C25">
        <v>0.56823605519543652</v>
      </c>
      <c r="D25">
        <v>0.96199609829419375</v>
      </c>
      <c r="E25">
        <v>1.7700124835004858</v>
      </c>
      <c r="F25">
        <v>-0.24833790778851197</v>
      </c>
      <c r="G25">
        <v>-0.40031059389178686</v>
      </c>
      <c r="H25">
        <v>-0.65501851107125919</v>
      </c>
      <c r="I25">
        <v>-0.50090607752188765</v>
      </c>
      <c r="J25">
        <v>-0.68623171261369709</v>
      </c>
      <c r="K25">
        <v>-0.67767236503965933</v>
      </c>
      <c r="L25">
        <v>8.243900057386952E-2</v>
      </c>
      <c r="M25">
        <v>1.7857765916423305</v>
      </c>
      <c r="N25">
        <v>0.35551788976813931</v>
      </c>
      <c r="O25">
        <v>-0.34308836054588143</v>
      </c>
      <c r="P25">
        <v>-0.38834789024907512</v>
      </c>
      <c r="Q25">
        <v>-0.28792608133342068</v>
      </c>
      <c r="R25">
        <v>1.248403299120451</v>
      </c>
      <c r="S25">
        <v>-0.40500545424855722</v>
      </c>
      <c r="T25">
        <v>-0.55529476574583725</v>
      </c>
      <c r="U25">
        <v>-0.18689636917868291</v>
      </c>
      <c r="V25">
        <v>-0.49365150188507662</v>
      </c>
      <c r="W25">
        <v>-0.42480954213475358</v>
      </c>
      <c r="X25">
        <v>-0.33203717329878968</v>
      </c>
      <c r="Y25">
        <v>-0.52281797458773771</v>
      </c>
      <c r="Z25">
        <v>1.8372991840909179</v>
      </c>
      <c r="AA25">
        <v>-0.14751749992500046</v>
      </c>
      <c r="AB25">
        <v>-0.49076358486669308</v>
      </c>
      <c r="AC25">
        <v>0.46034013594088796</v>
      </c>
      <c r="AD25">
        <v>-0.38452568410993637</v>
      </c>
      <c r="AE25">
        <v>-0.28043752423663354</v>
      </c>
      <c r="AF25">
        <v>-0.63247965078760759</v>
      </c>
      <c r="AG25">
        <v>-0.15941273684239857</v>
      </c>
      <c r="AH25">
        <v>-0.54608891162223838</v>
      </c>
      <c r="AI25">
        <v>-0.62251017527550989</v>
      </c>
      <c r="AJ25">
        <v>-0.55024176548045878</v>
      </c>
      <c r="AK25">
        <v>-0.14724473711798861</v>
      </c>
      <c r="AL25">
        <v>0.75087490561955961</v>
      </c>
      <c r="AM25">
        <v>0.53518378165622804</v>
      </c>
      <c r="AN25">
        <v>-0.47270502716380186</v>
      </c>
      <c r="AO25">
        <v>-0.4756816437832736</v>
      </c>
      <c r="AP25">
        <v>-8.3313629669726566E-2</v>
      </c>
      <c r="AQ25">
        <v>-0.48144088447168154</v>
      </c>
      <c r="AR25">
        <v>-0.24015174143456036</v>
      </c>
      <c r="AS25">
        <v>-0.57687467501530554</v>
      </c>
      <c r="AT25">
        <v>-0.65998363207222188</v>
      </c>
      <c r="AU25">
        <v>-0.5190742065592312</v>
      </c>
      <c r="AV25">
        <v>-0.19806090520952668</v>
      </c>
      <c r="AW25">
        <v>-0.60507599710135507</v>
      </c>
      <c r="AX25">
        <v>-0.46924810908819675</v>
      </c>
      <c r="AY25">
        <v>-0.22698047076710787</v>
      </c>
      <c r="AZ25">
        <v>0.8908699590807414</v>
      </c>
      <c r="BA25">
        <v>-9.9351745918645568E-2</v>
      </c>
      <c r="BB25">
        <v>-0.44331568049152797</v>
      </c>
      <c r="BC25">
        <v>-0.56982947861207234</v>
      </c>
      <c r="BD25">
        <v>-0.40035095031173712</v>
      </c>
      <c r="BE25">
        <v>-0.1160124049166176</v>
      </c>
      <c r="BF25">
        <v>-0.41253787099047434</v>
      </c>
      <c r="BG25">
        <v>-0.20458084073415109</v>
      </c>
      <c r="BH25">
        <v>-0.20458084073415109</v>
      </c>
      <c r="BI25">
        <v>0.52797807235504046</v>
      </c>
      <c r="BJ25">
        <v>-0.12628999583610717</v>
      </c>
      <c r="BK25">
        <v>7.420818023962758E-2</v>
      </c>
      <c r="BL25">
        <v>1.379815074916604</v>
      </c>
      <c r="BM25">
        <v>-0.6163560158401068</v>
      </c>
      <c r="BN25">
        <v>0.329335068399011</v>
      </c>
      <c r="BO25">
        <v>-0.70792215568862271</v>
      </c>
      <c r="BP25">
        <v>0.44360164940280344</v>
      </c>
      <c r="BQ25">
        <v>6.3403151438942054</v>
      </c>
    </row>
    <row r="26" spans="1:69" x14ac:dyDescent="0.45">
      <c r="A26" t="s">
        <v>43</v>
      </c>
      <c r="B26">
        <v>-0.2815516608572079</v>
      </c>
      <c r="C26">
        <v>0.44325395397999656</v>
      </c>
      <c r="D26">
        <v>0.53564062458547335</v>
      </c>
      <c r="E26">
        <v>1.0021935894724414</v>
      </c>
      <c r="F26">
        <v>-0.23931320571438103</v>
      </c>
      <c r="G26">
        <v>-0.31477243367906593</v>
      </c>
      <c r="H26">
        <v>-0.5289869340072425</v>
      </c>
      <c r="I26">
        <v>-0.47360096087827064</v>
      </c>
      <c r="J26">
        <v>-0.53738671982479291</v>
      </c>
      <c r="K26">
        <v>-0.5347454823150265</v>
      </c>
      <c r="L26">
        <v>0.16351151568424027</v>
      </c>
      <c r="M26">
        <v>4.5934330570287392</v>
      </c>
      <c r="N26">
        <v>0.46494380361855431</v>
      </c>
      <c r="O26">
        <v>-0.35966837383368988</v>
      </c>
      <c r="P26">
        <v>-0.39822843379840472</v>
      </c>
      <c r="Q26">
        <v>-0.29902988280316295</v>
      </c>
      <c r="R26">
        <v>0.56161377304148896</v>
      </c>
      <c r="S26">
        <v>-0.3974307497974891</v>
      </c>
      <c r="T26">
        <v>-0.41235382447703262</v>
      </c>
      <c r="U26">
        <v>-0.24370609985396191</v>
      </c>
      <c r="V26">
        <v>-0.43952767524741265</v>
      </c>
      <c r="W26">
        <v>-0.35061773999226226</v>
      </c>
      <c r="X26">
        <v>-0.25269488725391498</v>
      </c>
      <c r="Y26">
        <v>-0.33595537005375303</v>
      </c>
      <c r="Z26">
        <v>1.3041217775742937</v>
      </c>
      <c r="AA26">
        <v>0.13358857180709802</v>
      </c>
      <c r="AB26">
        <v>-0.45828634255498779</v>
      </c>
      <c r="AC26">
        <v>0.15463673329997354</v>
      </c>
      <c r="AD26">
        <v>-0.36041933904024537</v>
      </c>
      <c r="AE26">
        <v>-0.33844511691183032</v>
      </c>
      <c r="AF26">
        <v>-0.50635664941393155</v>
      </c>
      <c r="AG26">
        <v>-0.29196004058034303</v>
      </c>
      <c r="AH26">
        <v>-0.48824780107938037</v>
      </c>
      <c r="AI26">
        <v>-0.51569899366256244</v>
      </c>
      <c r="AJ26">
        <v>-0.48450285229276202</v>
      </c>
      <c r="AK26">
        <v>-0.22638015308176423</v>
      </c>
      <c r="AL26">
        <v>0.42809580023433175</v>
      </c>
      <c r="AM26">
        <v>-0.29291397414010051</v>
      </c>
      <c r="AN26">
        <v>-0.40358135946319357</v>
      </c>
      <c r="AO26">
        <v>-0.40452098619847898</v>
      </c>
      <c r="AP26">
        <v>9.6339770683103749E-3</v>
      </c>
      <c r="AQ26">
        <v>-0.45203263116692632</v>
      </c>
      <c r="AR26">
        <v>-0.28518319266160647</v>
      </c>
      <c r="AS26">
        <v>-0.43063395196260051</v>
      </c>
      <c r="AT26">
        <v>-0.51851178975076972</v>
      </c>
      <c r="AU26">
        <v>-0.42224215083456396</v>
      </c>
      <c r="AV26">
        <v>-0.29487834151288933</v>
      </c>
      <c r="AW26">
        <v>-0.48222841620655837</v>
      </c>
      <c r="AX26">
        <v>-0.38410413543414118</v>
      </c>
      <c r="AY26">
        <v>-0.21514518294992857</v>
      </c>
      <c r="AZ26">
        <v>1.3646087872518555</v>
      </c>
      <c r="BA26">
        <v>-1.0280289990548227E-2</v>
      </c>
      <c r="BB26">
        <v>-0.37092619785567632</v>
      </c>
      <c r="BC26">
        <v>-0.48174777609044395</v>
      </c>
      <c r="BD26">
        <v>-0.34165491657559188</v>
      </c>
      <c r="BE26">
        <v>-0.14525519300424969</v>
      </c>
      <c r="BF26">
        <v>-0.34980804005691951</v>
      </c>
      <c r="BG26">
        <v>-0.1236100539038044</v>
      </c>
      <c r="BH26">
        <v>-0.1236100539038044</v>
      </c>
      <c r="BI26">
        <v>0.35786780379611344</v>
      </c>
      <c r="BJ26">
        <v>-0.21389404617546071</v>
      </c>
      <c r="BK26">
        <v>-0.17287427007260373</v>
      </c>
      <c r="BL26">
        <v>0.37840835330321948</v>
      </c>
      <c r="BM26">
        <v>-0.4976038815828619</v>
      </c>
      <c r="BN26">
        <v>0.35800260929398359</v>
      </c>
      <c r="BO26">
        <v>-0.54248975027953783</v>
      </c>
      <c r="BP26">
        <v>9.2177568475826713E-2</v>
      </c>
      <c r="BQ26">
        <v>5.6901299766117983</v>
      </c>
    </row>
    <row r="28" spans="1:69" x14ac:dyDescent="0.45">
      <c r="F28" t="s">
        <v>72</v>
      </c>
      <c r="AF28" t="s">
        <v>72</v>
      </c>
    </row>
    <row r="29" spans="1:69" x14ac:dyDescent="0.45">
      <c r="B29" t="s">
        <v>45</v>
      </c>
      <c r="C29" t="s">
        <v>44</v>
      </c>
      <c r="D29" t="s">
        <v>43</v>
      </c>
      <c r="F29" s="6"/>
      <c r="G29" s="6" t="s">
        <v>45</v>
      </c>
      <c r="H29" s="6"/>
      <c r="I29" s="6"/>
      <c r="J29" s="6" t="s">
        <v>44</v>
      </c>
      <c r="K29" s="6"/>
      <c r="L29" s="6"/>
      <c r="M29" s="6" t="s">
        <v>43</v>
      </c>
      <c r="AA29" t="s">
        <v>48</v>
      </c>
      <c r="AB29" t="s">
        <v>45</v>
      </c>
      <c r="AC29" t="s">
        <v>44</v>
      </c>
      <c r="AD29" t="s">
        <v>43</v>
      </c>
      <c r="AF29" s="6" t="s">
        <v>48</v>
      </c>
      <c r="AG29" s="6" t="s">
        <v>45</v>
      </c>
      <c r="AH29" s="6"/>
      <c r="AI29" s="6" t="s">
        <v>48</v>
      </c>
      <c r="AJ29" s="6" t="s">
        <v>44</v>
      </c>
      <c r="AK29" s="6"/>
      <c r="AL29" s="6" t="s">
        <v>48</v>
      </c>
      <c r="AM29" s="6" t="s">
        <v>43</v>
      </c>
    </row>
    <row r="30" spans="1:69" x14ac:dyDescent="0.45">
      <c r="A30" t="s">
        <v>0</v>
      </c>
      <c r="B30">
        <v>3.8670000000000003E-2</v>
      </c>
      <c r="C30">
        <v>0.57643675465375055</v>
      </c>
      <c r="D30">
        <v>2.8003875756804453</v>
      </c>
      <c r="F30" s="9" t="s">
        <v>75</v>
      </c>
      <c r="G30" s="9">
        <v>0</v>
      </c>
      <c r="H30" s="9"/>
      <c r="I30" s="9" t="s">
        <v>75</v>
      </c>
      <c r="J30" s="9">
        <v>0</v>
      </c>
      <c r="K30" s="9"/>
      <c r="L30" s="9" t="s">
        <v>75</v>
      </c>
      <c r="M30" s="9">
        <v>0</v>
      </c>
      <c r="N30" s="8" t="s">
        <v>79</v>
      </c>
      <c r="AA30" t="s">
        <v>0</v>
      </c>
      <c r="AB30">
        <v>-0.41594736842105257</v>
      </c>
      <c r="AC30">
        <v>-0.36275044631511938</v>
      </c>
      <c r="AD30">
        <v>-0.2815516608572079</v>
      </c>
      <c r="AF30" s="9" t="s">
        <v>75</v>
      </c>
      <c r="AG30" s="9">
        <v>-0.61947368421052629</v>
      </c>
      <c r="AH30" s="9"/>
      <c r="AI30" s="9" t="s">
        <v>75</v>
      </c>
      <c r="AJ30" s="9">
        <v>-0.70792215568862271</v>
      </c>
      <c r="AK30" s="9"/>
      <c r="AL30" s="9" t="s">
        <v>75</v>
      </c>
      <c r="AM30" s="9">
        <v>-0.54248975027953783</v>
      </c>
      <c r="AN30" s="8" t="s">
        <v>79</v>
      </c>
    </row>
    <row r="31" spans="1:69" x14ac:dyDescent="0.45">
      <c r="A31" t="s">
        <v>1</v>
      </c>
      <c r="B31">
        <v>0.13780000000000001</v>
      </c>
      <c r="C31">
        <v>2.1311842121763789</v>
      </c>
      <c r="D31">
        <v>10.579001434113323</v>
      </c>
      <c r="F31" s="6" t="s">
        <v>23</v>
      </c>
      <c r="G31" s="6">
        <v>1.0659999999999999E-2</v>
      </c>
      <c r="H31" s="6"/>
      <c r="I31" s="6" t="s">
        <v>8</v>
      </c>
      <c r="J31" s="6">
        <v>3.6223039935125816E-2</v>
      </c>
      <c r="K31" s="6"/>
      <c r="L31" s="6" t="s">
        <v>8</v>
      </c>
      <c r="M31" s="6">
        <v>5.4765722840322932E-2</v>
      </c>
      <c r="AA31" t="s">
        <v>1</v>
      </c>
      <c r="AB31">
        <v>0.10578947368421056</v>
      </c>
      <c r="AC31">
        <v>0.56823605519543652</v>
      </c>
      <c r="AD31">
        <v>0.44325395397999656</v>
      </c>
      <c r="AF31" s="6" t="s">
        <v>23</v>
      </c>
      <c r="AG31" s="6">
        <v>-0.56336842105263152</v>
      </c>
      <c r="AH31" s="6"/>
      <c r="AI31" s="6" t="s">
        <v>8</v>
      </c>
      <c r="AJ31" s="6">
        <v>-0.68623171261369709</v>
      </c>
      <c r="AK31" s="6"/>
      <c r="AL31" s="6" t="s">
        <v>8</v>
      </c>
      <c r="AM31" s="6">
        <v>-0.53738671982479291</v>
      </c>
    </row>
    <row r="32" spans="1:69" x14ac:dyDescent="0.45">
      <c r="A32" t="s">
        <v>2</v>
      </c>
      <c r="B32">
        <v>0.245</v>
      </c>
      <c r="C32">
        <v>2.7887634841513034</v>
      </c>
      <c r="D32">
        <v>11.5704951830513</v>
      </c>
      <c r="F32" s="6" t="s">
        <v>54</v>
      </c>
      <c r="G32" s="6">
        <v>1.0880000000000001E-2</v>
      </c>
      <c r="H32" s="6"/>
      <c r="I32" s="6" t="s">
        <v>9</v>
      </c>
      <c r="J32" s="6">
        <v>5.0517150383768916E-2</v>
      </c>
      <c r="K32" s="6"/>
      <c r="L32" s="6" t="s">
        <v>9</v>
      </c>
      <c r="M32" s="6">
        <v>8.3111483795136359E-2</v>
      </c>
      <c r="AA32" t="s">
        <v>2</v>
      </c>
      <c r="AB32">
        <v>0.66999999999999993</v>
      </c>
      <c r="AC32">
        <v>0.96199609829419375</v>
      </c>
      <c r="AD32">
        <v>0.53564062458547335</v>
      </c>
      <c r="AF32" s="6" t="s">
        <v>54</v>
      </c>
      <c r="AG32" s="6">
        <v>-0.56221052631578949</v>
      </c>
      <c r="AH32" s="6"/>
      <c r="AI32" s="6" t="s">
        <v>9</v>
      </c>
      <c r="AJ32" s="6">
        <v>-0.67767236503965933</v>
      </c>
      <c r="AK32" s="6"/>
      <c r="AL32" s="6" t="s">
        <v>9</v>
      </c>
      <c r="AM32" s="6">
        <v>-0.5347454823150265</v>
      </c>
    </row>
    <row r="33" spans="1:39" x14ac:dyDescent="0.45">
      <c r="A33" t="s">
        <v>3</v>
      </c>
      <c r="B33">
        <v>0.38600000000000001</v>
      </c>
      <c r="C33">
        <v>4.1381508474458109</v>
      </c>
      <c r="D33">
        <v>16.57754160221824</v>
      </c>
      <c r="F33" s="6" t="s">
        <v>53</v>
      </c>
      <c r="G33" s="6">
        <v>1.193E-2</v>
      </c>
      <c r="H33" s="6"/>
      <c r="I33" s="6" t="s">
        <v>54</v>
      </c>
      <c r="J33" s="6">
        <v>8.005733443938931E-2</v>
      </c>
      <c r="K33" s="6"/>
      <c r="L33" s="6" t="s">
        <v>6</v>
      </c>
      <c r="M33" s="6">
        <v>0.14491222423427322</v>
      </c>
      <c r="AA33" t="s">
        <v>3</v>
      </c>
      <c r="AB33">
        <v>1.4121052631578945</v>
      </c>
      <c r="AC33">
        <v>1.7700124835004858</v>
      </c>
      <c r="AD33">
        <v>1.0021935894724414</v>
      </c>
      <c r="AF33" s="6" t="s">
        <v>53</v>
      </c>
      <c r="AG33" s="6">
        <v>-0.55668421052631578</v>
      </c>
      <c r="AH33" s="6"/>
      <c r="AI33" s="6" t="s">
        <v>54</v>
      </c>
      <c r="AJ33" s="6">
        <v>-0.65998363207222188</v>
      </c>
      <c r="AK33" s="6"/>
      <c r="AL33" s="6" t="s">
        <v>6</v>
      </c>
      <c r="AM33" s="6">
        <v>-0.5289869340072425</v>
      </c>
    </row>
    <row r="34" spans="1:39" x14ac:dyDescent="0.45">
      <c r="A34" t="s">
        <v>4</v>
      </c>
      <c r="B34">
        <v>6.4990000000000006E-2</v>
      </c>
      <c r="C34">
        <v>0.76750569399318491</v>
      </c>
      <c r="D34">
        <v>3.2536906762732629</v>
      </c>
      <c r="F34" s="6" t="s">
        <v>18</v>
      </c>
      <c r="G34" s="6">
        <v>1.392E-2</v>
      </c>
      <c r="H34" s="6"/>
      <c r="I34" s="6" t="s">
        <v>6</v>
      </c>
      <c r="J34" s="6">
        <v>8.8349086510997127E-2</v>
      </c>
      <c r="K34" s="6"/>
      <c r="L34" s="6" t="s">
        <v>54</v>
      </c>
      <c r="M34" s="6">
        <v>0.25733147239473975</v>
      </c>
      <c r="AA34" t="s">
        <v>4</v>
      </c>
      <c r="AB34">
        <v>-0.2774210526315789</v>
      </c>
      <c r="AC34">
        <v>-0.24833790778851197</v>
      </c>
      <c r="AD34">
        <v>-0.23931320571438103</v>
      </c>
      <c r="AF34" s="6" t="s">
        <v>18</v>
      </c>
      <c r="AG34" s="6">
        <v>-0.54621052631578948</v>
      </c>
      <c r="AH34" s="6"/>
      <c r="AI34" s="6" t="s">
        <v>6</v>
      </c>
      <c r="AJ34" s="6">
        <v>-0.65501851107125919</v>
      </c>
      <c r="AK34" s="6"/>
      <c r="AL34" s="6" t="s">
        <v>54</v>
      </c>
      <c r="AM34" s="6">
        <v>-0.51851178975076972</v>
      </c>
    </row>
    <row r="35" spans="1:39" x14ac:dyDescent="0.45">
      <c r="A35" t="s">
        <v>5</v>
      </c>
      <c r="B35">
        <v>3.5720000000000002E-2</v>
      </c>
      <c r="C35">
        <v>0.51371130820071587</v>
      </c>
      <c r="D35">
        <v>2.443862241756265</v>
      </c>
      <c r="F35" s="6" t="s">
        <v>56</v>
      </c>
      <c r="G35" s="6">
        <v>1.7809999999999999E-2</v>
      </c>
      <c r="H35" s="6"/>
      <c r="I35" s="6" t="s">
        <v>30</v>
      </c>
      <c r="J35" s="6">
        <v>0.12598898318469523</v>
      </c>
      <c r="K35" s="6"/>
      <c r="L35" s="6" t="s">
        <v>33</v>
      </c>
      <c r="M35" s="6">
        <v>0.28751840001338019</v>
      </c>
      <c r="AA35" t="s">
        <v>5</v>
      </c>
      <c r="AB35">
        <v>-0.43147368421052629</v>
      </c>
      <c r="AC35">
        <v>-0.40031059389178686</v>
      </c>
      <c r="AD35">
        <v>-0.31477243367906593</v>
      </c>
      <c r="AF35" s="6" t="s">
        <v>56</v>
      </c>
      <c r="AG35" s="6">
        <v>-0.52573684210526317</v>
      </c>
      <c r="AH35" s="6"/>
      <c r="AI35" s="6" t="s">
        <v>30</v>
      </c>
      <c r="AJ35" s="6">
        <v>-0.63247965078760759</v>
      </c>
      <c r="AK35" s="6"/>
      <c r="AL35" s="6" t="s">
        <v>33</v>
      </c>
      <c r="AM35" s="6">
        <v>-0.51569899366256244</v>
      </c>
    </row>
    <row r="36" spans="1:39" x14ac:dyDescent="0.45">
      <c r="A36" t="s">
        <v>6</v>
      </c>
      <c r="B36">
        <v>3.7920000000000002E-2</v>
      </c>
      <c r="C36">
        <v>8.8349086510997127E-2</v>
      </c>
      <c r="D36">
        <v>0.14491222423427322</v>
      </c>
      <c r="F36" s="6" t="s">
        <v>8</v>
      </c>
      <c r="G36" s="6">
        <v>1.787E-2</v>
      </c>
      <c r="H36" s="6"/>
      <c r="I36" s="6" t="s">
        <v>33</v>
      </c>
      <c r="J36" s="6">
        <v>0.14263800728989859</v>
      </c>
      <c r="K36" s="6"/>
      <c r="L36" s="6" t="s">
        <v>30</v>
      </c>
      <c r="M36" s="6">
        <v>0.38778043848968735</v>
      </c>
      <c r="AA36" t="s">
        <v>6</v>
      </c>
      <c r="AB36">
        <v>-0.41989473684210521</v>
      </c>
      <c r="AC36">
        <v>-0.65501851107125919</v>
      </c>
      <c r="AD36">
        <v>-0.5289869340072425</v>
      </c>
      <c r="AF36" s="6" t="s">
        <v>8</v>
      </c>
      <c r="AG36" s="6">
        <v>-0.5254210526315789</v>
      </c>
      <c r="AH36" s="6"/>
      <c r="AI36" s="6" t="s">
        <v>33</v>
      </c>
      <c r="AJ36" s="6">
        <v>-0.62251017527550989</v>
      </c>
      <c r="AK36" s="6"/>
      <c r="AL36" s="6" t="s">
        <v>30</v>
      </c>
      <c r="AM36" s="6">
        <v>-0.50635664941393155</v>
      </c>
    </row>
    <row r="37" spans="1:39" x14ac:dyDescent="0.45">
      <c r="A37" t="s">
        <v>7</v>
      </c>
      <c r="B37">
        <v>9.4289999999999999E-2</v>
      </c>
      <c r="C37">
        <v>0.34571685053844753</v>
      </c>
      <c r="D37">
        <v>0.73931448785440024</v>
      </c>
      <c r="F37" s="6" t="s">
        <v>30</v>
      </c>
      <c r="G37" s="6">
        <v>1.8440000000000002E-2</v>
      </c>
      <c r="H37" s="6"/>
      <c r="I37" s="6" t="s">
        <v>73</v>
      </c>
      <c r="J37" s="6">
        <v>0.15291545354702152</v>
      </c>
      <c r="K37" s="6"/>
      <c r="L37" s="6" t="s">
        <v>73</v>
      </c>
      <c r="M37" s="6">
        <v>0.48171514285272665</v>
      </c>
      <c r="AA37" t="s">
        <v>7</v>
      </c>
      <c r="AB37">
        <v>-0.12321052631578948</v>
      </c>
      <c r="AC37">
        <v>-0.50090607752188765</v>
      </c>
      <c r="AD37">
        <v>-0.47360096087827064</v>
      </c>
      <c r="AF37" s="6" t="s">
        <v>30</v>
      </c>
      <c r="AG37" s="6">
        <v>-0.5224210526315789</v>
      </c>
      <c r="AH37" s="6"/>
      <c r="AI37" s="6" t="s">
        <v>73</v>
      </c>
      <c r="AJ37" s="6">
        <v>-0.6163560158401068</v>
      </c>
      <c r="AK37" s="6"/>
      <c r="AL37" s="6" t="s">
        <v>73</v>
      </c>
      <c r="AM37" s="6">
        <v>-0.4976038815828619</v>
      </c>
    </row>
    <row r="38" spans="1:39" x14ac:dyDescent="0.45">
      <c r="A38" t="s">
        <v>8</v>
      </c>
      <c r="B38">
        <v>1.787E-2</v>
      </c>
      <c r="C38">
        <v>3.6223039935125816E-2</v>
      </c>
      <c r="D38">
        <v>5.4765722840322932E-2</v>
      </c>
      <c r="F38" s="6" t="s">
        <v>73</v>
      </c>
      <c r="G38" s="6">
        <v>2.1510000000000001E-2</v>
      </c>
      <c r="H38" s="6"/>
      <c r="I38" s="6" t="s">
        <v>56</v>
      </c>
      <c r="J38" s="6">
        <v>0.1717530848407369</v>
      </c>
      <c r="K38" s="6"/>
      <c r="L38" s="6" t="s">
        <v>32</v>
      </c>
      <c r="M38" s="6">
        <v>0.58212459881609036</v>
      </c>
      <c r="AA38" t="s">
        <v>8</v>
      </c>
      <c r="AB38">
        <v>-0.5254210526315789</v>
      </c>
      <c r="AC38">
        <v>-0.68623171261369709</v>
      </c>
      <c r="AD38">
        <v>-0.53738671982479291</v>
      </c>
      <c r="AF38" s="6" t="s">
        <v>73</v>
      </c>
      <c r="AG38" s="6">
        <v>-0.50626315789473686</v>
      </c>
      <c r="AH38" s="6"/>
      <c r="AI38" s="6" t="s">
        <v>56</v>
      </c>
      <c r="AJ38" s="6">
        <v>-0.60507599710135507</v>
      </c>
      <c r="AK38" s="6"/>
      <c r="AL38" s="6" t="s">
        <v>32</v>
      </c>
      <c r="AM38" s="6">
        <v>-0.48824780107938037</v>
      </c>
    </row>
    <row r="39" spans="1:39" x14ac:dyDescent="0.45">
      <c r="A39" t="s">
        <v>9</v>
      </c>
      <c r="B39">
        <v>2.1569999999999999E-2</v>
      </c>
      <c r="C39">
        <v>5.0517150383768916E-2</v>
      </c>
      <c r="D39">
        <v>8.3111483795136359E-2</v>
      </c>
      <c r="F39" s="6" t="s">
        <v>9</v>
      </c>
      <c r="G39" s="6">
        <v>2.1569999999999999E-2</v>
      </c>
      <c r="H39" s="6"/>
      <c r="I39" s="6" t="s">
        <v>53</v>
      </c>
      <c r="J39" s="6">
        <v>0.21884929272443976</v>
      </c>
      <c r="K39" s="6"/>
      <c r="L39" s="6" t="s">
        <v>34</v>
      </c>
      <c r="M39" s="6">
        <v>0.62231538919407858</v>
      </c>
      <c r="AA39" t="s">
        <v>9</v>
      </c>
      <c r="AB39">
        <v>-0.50594736842105259</v>
      </c>
      <c r="AC39">
        <v>-0.67767236503965933</v>
      </c>
      <c r="AD39">
        <v>-0.5347454823150265</v>
      </c>
      <c r="AF39" s="6" t="s">
        <v>9</v>
      </c>
      <c r="AG39" s="6">
        <v>-0.50594736842105259</v>
      </c>
      <c r="AH39" s="6"/>
      <c r="AI39" s="6" t="s">
        <v>53</v>
      </c>
      <c r="AJ39" s="6">
        <v>-0.57687467501530554</v>
      </c>
      <c r="AK39" s="6"/>
      <c r="AL39" s="6" t="s">
        <v>34</v>
      </c>
      <c r="AM39" s="6">
        <v>-0.48450285229276202</v>
      </c>
    </row>
    <row r="40" spans="1:39" x14ac:dyDescent="0.45">
      <c r="A40" t="s">
        <v>10</v>
      </c>
      <c r="B40">
        <v>6.6570000000000004E-2</v>
      </c>
      <c r="C40">
        <v>1.319903130958362</v>
      </c>
      <c r="D40">
        <v>7.5768055863232666</v>
      </c>
      <c r="F40" s="6" t="s">
        <v>25</v>
      </c>
      <c r="G40" s="6">
        <v>2.8240000000000001E-2</v>
      </c>
      <c r="H40" s="6"/>
      <c r="I40" s="6" t="s">
        <v>62</v>
      </c>
      <c r="J40" s="6">
        <v>0.23061477071783906</v>
      </c>
      <c r="K40" s="6"/>
      <c r="L40" s="6" t="s">
        <v>56</v>
      </c>
      <c r="M40" s="6">
        <v>0.64672463727121587</v>
      </c>
      <c r="AA40" t="s">
        <v>10</v>
      </c>
      <c r="AB40">
        <v>-0.26910526315789468</v>
      </c>
      <c r="AC40">
        <v>8.243900057386952E-2</v>
      </c>
      <c r="AD40">
        <v>0.16351151568424027</v>
      </c>
      <c r="AF40" s="6" t="s">
        <v>25</v>
      </c>
      <c r="AG40" s="6">
        <v>-0.4708421052631579</v>
      </c>
      <c r="AH40" s="6"/>
      <c r="AI40" s="6" t="s">
        <v>62</v>
      </c>
      <c r="AJ40" s="6">
        <v>-0.56982947861207234</v>
      </c>
      <c r="AK40" s="6"/>
      <c r="AL40" s="6" t="s">
        <v>56</v>
      </c>
      <c r="AM40" s="6">
        <v>-0.48222841620655837</v>
      </c>
    </row>
    <row r="41" spans="1:39" x14ac:dyDescent="0.45">
      <c r="A41" t="s">
        <v>11</v>
      </c>
      <c r="B41">
        <v>5.0369999999999998E-2</v>
      </c>
      <c r="C41">
        <v>4.1644769080426913</v>
      </c>
      <c r="D41">
        <v>55.118723568032429</v>
      </c>
      <c r="F41" s="6" t="s">
        <v>4</v>
      </c>
      <c r="G41" s="6">
        <v>2.8369999999999999E-2</v>
      </c>
      <c r="H41" s="6"/>
      <c r="I41" s="6" t="s">
        <v>18</v>
      </c>
      <c r="J41" s="6">
        <v>0.25488774120445173</v>
      </c>
      <c r="K41" s="6"/>
      <c r="L41" s="6" t="s">
        <v>62</v>
      </c>
      <c r="M41" s="6">
        <v>0.65188286699735609</v>
      </c>
      <c r="AA41" t="s">
        <v>11</v>
      </c>
      <c r="AB41">
        <v>-0.35436842105263155</v>
      </c>
      <c r="AC41">
        <v>1.7857765916423305</v>
      </c>
      <c r="AD41">
        <v>4.5934330570287392</v>
      </c>
      <c r="AF41" s="6" t="s">
        <v>4</v>
      </c>
      <c r="AG41" s="6">
        <v>-0.47015789473684205</v>
      </c>
      <c r="AH41" s="6"/>
      <c r="AI41" s="6" t="s">
        <v>18</v>
      </c>
      <c r="AJ41" s="6">
        <v>-0.55529476574583725</v>
      </c>
      <c r="AK41" s="6"/>
      <c r="AL41" s="6" t="s">
        <v>62</v>
      </c>
      <c r="AM41" s="6">
        <v>-0.48174777609044395</v>
      </c>
    </row>
    <row r="42" spans="1:39" x14ac:dyDescent="0.45">
      <c r="A42" t="s">
        <v>12</v>
      </c>
      <c r="B42">
        <v>8.1009999999999999E-2</v>
      </c>
      <c r="C42">
        <v>1.7759448759127925</v>
      </c>
      <c r="D42">
        <v>10.811776900434324</v>
      </c>
      <c r="F42" s="6" t="s">
        <v>57</v>
      </c>
      <c r="G42" s="6">
        <v>3.3410000000000002E-2</v>
      </c>
      <c r="H42" s="6"/>
      <c r="I42" s="6" t="s">
        <v>34</v>
      </c>
      <c r="J42" s="6">
        <v>0.26332625164763374</v>
      </c>
      <c r="K42" s="6"/>
      <c r="L42" s="6" t="s">
        <v>7</v>
      </c>
      <c r="M42" s="6">
        <v>0.73931448785440024</v>
      </c>
      <c r="AA42" t="s">
        <v>12</v>
      </c>
      <c r="AB42">
        <v>-0.19310526315789472</v>
      </c>
      <c r="AC42">
        <v>0.35551788976813931</v>
      </c>
      <c r="AD42">
        <v>0.46494380361855431</v>
      </c>
      <c r="AF42" s="6" t="s">
        <v>57</v>
      </c>
      <c r="AG42" s="6">
        <v>-0.44363157894736843</v>
      </c>
      <c r="AH42" s="6"/>
      <c r="AI42" s="6" t="s">
        <v>34</v>
      </c>
      <c r="AJ42" s="6">
        <v>-0.55024176548045878</v>
      </c>
      <c r="AK42" s="6"/>
      <c r="AL42" s="6" t="s">
        <v>7</v>
      </c>
      <c r="AM42" s="6">
        <v>-0.47360096087827064</v>
      </c>
    </row>
    <row r="43" spans="1:39" x14ac:dyDescent="0.45">
      <c r="A43" t="s">
        <v>13</v>
      </c>
      <c r="B43">
        <v>8.2540000000000002E-2</v>
      </c>
      <c r="C43">
        <v>0.60927243788837793</v>
      </c>
      <c r="D43">
        <v>1.9620390120168407</v>
      </c>
      <c r="F43" s="6" t="s">
        <v>5</v>
      </c>
      <c r="G43" s="6">
        <v>3.5720000000000002E-2</v>
      </c>
      <c r="H43" s="6"/>
      <c r="I43" s="6" t="s">
        <v>32</v>
      </c>
      <c r="J43" s="6">
        <v>0.27026151759086181</v>
      </c>
      <c r="K43" s="6"/>
      <c r="L43" s="6" t="s">
        <v>26</v>
      </c>
      <c r="M43" s="6">
        <v>0.90367097169987176</v>
      </c>
      <c r="AA43" t="s">
        <v>13</v>
      </c>
      <c r="AB43">
        <v>-0.18505263157894736</v>
      </c>
      <c r="AC43">
        <v>-0.34308836054588143</v>
      </c>
      <c r="AD43">
        <v>-0.35966837383368988</v>
      </c>
      <c r="AF43" s="6" t="s">
        <v>5</v>
      </c>
      <c r="AG43" s="6">
        <v>-0.43147368421052629</v>
      </c>
      <c r="AH43" s="6"/>
      <c r="AI43" s="6" t="s">
        <v>32</v>
      </c>
      <c r="AJ43" s="6">
        <v>-0.54608891162223838</v>
      </c>
      <c r="AK43" s="6"/>
      <c r="AL43" s="6" t="s">
        <v>26</v>
      </c>
      <c r="AM43" s="6">
        <v>-0.45828634255498779</v>
      </c>
    </row>
    <row r="44" spans="1:39" x14ac:dyDescent="0.45">
      <c r="A44" t="s">
        <v>14</v>
      </c>
      <c r="B44">
        <v>8.6430000000000007E-2</v>
      </c>
      <c r="C44">
        <v>0.53368902328404444</v>
      </c>
      <c r="D44">
        <v>1.5482124484755211</v>
      </c>
      <c r="F44" s="6" t="s">
        <v>6</v>
      </c>
      <c r="G44" s="6">
        <v>3.7920000000000002E-2</v>
      </c>
      <c r="H44" s="6"/>
      <c r="I44" s="6" t="s">
        <v>23</v>
      </c>
      <c r="J44" s="6">
        <v>0.30912398243847794</v>
      </c>
      <c r="K44" s="6"/>
      <c r="L44" s="6" t="s">
        <v>51</v>
      </c>
      <c r="M44" s="6">
        <v>0.97078580231654654</v>
      </c>
      <c r="AA44" t="s">
        <v>14</v>
      </c>
      <c r="AB44">
        <v>-0.16457894736842102</v>
      </c>
      <c r="AC44">
        <v>-0.38834789024907512</v>
      </c>
      <c r="AD44">
        <v>-0.39822843379840472</v>
      </c>
      <c r="AF44" s="6" t="s">
        <v>6</v>
      </c>
      <c r="AG44" s="6">
        <v>-0.41989473684210521</v>
      </c>
      <c r="AH44" s="6"/>
      <c r="AI44" s="6" t="s">
        <v>23</v>
      </c>
      <c r="AJ44" s="6">
        <v>-0.52281797458773771</v>
      </c>
      <c r="AK44" s="6"/>
      <c r="AL44" s="6" t="s">
        <v>51</v>
      </c>
      <c r="AM44" s="6">
        <v>-0.45203263116692632</v>
      </c>
    </row>
    <row r="45" spans="1:39" x14ac:dyDescent="0.45">
      <c r="A45" t="s">
        <v>15</v>
      </c>
      <c r="B45">
        <v>7.4079999999999993E-2</v>
      </c>
      <c r="C45">
        <v>0.70139344417318739</v>
      </c>
      <c r="D45">
        <v>2.6128112977564553</v>
      </c>
      <c r="F45" s="6" t="s">
        <v>21</v>
      </c>
      <c r="G45" s="6">
        <v>3.823E-2</v>
      </c>
      <c r="H45" s="6"/>
      <c r="I45" s="6" t="s">
        <v>4</v>
      </c>
      <c r="J45" s="6">
        <v>0.31537607504608389</v>
      </c>
      <c r="K45" s="6"/>
      <c r="L45" s="6" t="s">
        <v>20</v>
      </c>
      <c r="M45" s="6">
        <v>1.1049889892447677</v>
      </c>
      <c r="AA45" t="s">
        <v>15</v>
      </c>
      <c r="AB45">
        <v>-0.22957894736842108</v>
      </c>
      <c r="AC45">
        <v>-0.28792608133342068</v>
      </c>
      <c r="AD45">
        <v>-0.29902988280316295</v>
      </c>
      <c r="AF45" s="6" t="s">
        <v>21</v>
      </c>
      <c r="AG45" s="6">
        <v>-0.41826315789473684</v>
      </c>
      <c r="AH45" s="6"/>
      <c r="AI45" s="6" t="s">
        <v>4</v>
      </c>
      <c r="AJ45" s="6">
        <v>-0.5190742065592312</v>
      </c>
      <c r="AK45" s="6"/>
      <c r="AL45" s="6" t="s">
        <v>20</v>
      </c>
      <c r="AM45" s="6">
        <v>-0.43952767524741265</v>
      </c>
    </row>
    <row r="46" spans="1:39" x14ac:dyDescent="0.45">
      <c r="A46" t="s">
        <v>16</v>
      </c>
      <c r="B46">
        <v>0.36120000000000002</v>
      </c>
      <c r="C46">
        <v>3.2670635095311531</v>
      </c>
      <c r="D46">
        <v>11.849239012281259</v>
      </c>
      <c r="F46" s="6" t="s">
        <v>61</v>
      </c>
      <c r="G46" s="6">
        <v>3.8539999999999998E-2</v>
      </c>
      <c r="H46" s="6"/>
      <c r="I46" s="6" t="s">
        <v>7</v>
      </c>
      <c r="J46" s="6">
        <v>0.34571685053844753</v>
      </c>
      <c r="K46" s="6"/>
      <c r="L46" s="6" t="s">
        <v>53</v>
      </c>
      <c r="M46" s="6">
        <v>1.2004364275373716</v>
      </c>
      <c r="AA46" t="s">
        <v>16</v>
      </c>
      <c r="AB46">
        <v>1.2815789473684212</v>
      </c>
      <c r="AC46">
        <v>1.248403299120451</v>
      </c>
      <c r="AD46">
        <v>0.56161377304148896</v>
      </c>
      <c r="AF46" s="6" t="s">
        <v>61</v>
      </c>
      <c r="AG46" s="6">
        <v>-0.41663157894736846</v>
      </c>
      <c r="AH46" s="6"/>
      <c r="AI46" s="6" t="s">
        <v>7</v>
      </c>
      <c r="AJ46" s="6">
        <v>-0.50090607752188765</v>
      </c>
      <c r="AK46" s="6"/>
      <c r="AL46" s="6" t="s">
        <v>53</v>
      </c>
      <c r="AM46" s="6">
        <v>-0.43063395196260051</v>
      </c>
    </row>
    <row r="47" spans="1:39" x14ac:dyDescent="0.45">
      <c r="A47" t="s">
        <v>17</v>
      </c>
      <c r="B47">
        <v>7.4060000000000001E-2</v>
      </c>
      <c r="C47">
        <v>0.50587089140490937</v>
      </c>
      <c r="D47">
        <v>1.5567731931733471</v>
      </c>
      <c r="F47" s="6" t="s">
        <v>0</v>
      </c>
      <c r="G47" s="6">
        <v>3.8670000000000003E-2</v>
      </c>
      <c r="H47" s="6"/>
      <c r="I47" s="6" t="s">
        <v>20</v>
      </c>
      <c r="J47" s="6">
        <v>0.35783199185192188</v>
      </c>
      <c r="K47" s="6"/>
      <c r="L47" s="6" t="s">
        <v>4</v>
      </c>
      <c r="M47" s="6">
        <v>1.2904972372434595</v>
      </c>
      <c r="AA47" t="s">
        <v>17</v>
      </c>
      <c r="AB47">
        <v>-0.22968421052631577</v>
      </c>
      <c r="AC47">
        <v>-0.40500545424855722</v>
      </c>
      <c r="AD47">
        <v>-0.3974307497974891</v>
      </c>
      <c r="AF47" s="6" t="s">
        <v>0</v>
      </c>
      <c r="AG47" s="6">
        <v>-0.41594736842105257</v>
      </c>
      <c r="AH47" s="6"/>
      <c r="AI47" s="6" t="s">
        <v>20</v>
      </c>
      <c r="AJ47" s="6">
        <v>-0.49365150188507662</v>
      </c>
      <c r="AK47" s="6"/>
      <c r="AL47" s="6" t="s">
        <v>4</v>
      </c>
      <c r="AM47" s="6">
        <v>-0.42224215083456396</v>
      </c>
    </row>
    <row r="48" spans="1:39" x14ac:dyDescent="0.45">
      <c r="A48" t="s">
        <v>18</v>
      </c>
      <c r="B48">
        <v>1.392E-2</v>
      </c>
      <c r="C48">
        <v>0.25488774120445173</v>
      </c>
      <c r="D48">
        <v>1.3966187557124865</v>
      </c>
      <c r="F48" s="6" t="s">
        <v>62</v>
      </c>
      <c r="G48" s="6">
        <v>3.9039999999999998E-2</v>
      </c>
      <c r="H48" s="6"/>
      <c r="I48" s="6" t="s">
        <v>26</v>
      </c>
      <c r="J48" s="6">
        <v>0.3626548132726225</v>
      </c>
      <c r="K48" s="6"/>
      <c r="L48" s="6" t="s">
        <v>18</v>
      </c>
      <c r="M48" s="6">
        <v>1.3966187557124865</v>
      </c>
      <c r="AA48" t="s">
        <v>18</v>
      </c>
      <c r="AB48">
        <v>-0.54621052631578948</v>
      </c>
      <c r="AC48">
        <v>-0.55529476574583725</v>
      </c>
      <c r="AD48">
        <v>-0.41235382447703262</v>
      </c>
      <c r="AF48" s="6" t="s">
        <v>62</v>
      </c>
      <c r="AG48" s="6">
        <v>-0.41400000000000003</v>
      </c>
      <c r="AH48" s="6"/>
      <c r="AI48" s="6" t="s">
        <v>26</v>
      </c>
      <c r="AJ48" s="6">
        <v>-0.49076358486669308</v>
      </c>
      <c r="AK48" s="6"/>
      <c r="AL48" s="6" t="s">
        <v>18</v>
      </c>
      <c r="AM48" s="6">
        <v>-0.41235382447703262</v>
      </c>
    </row>
    <row r="49" spans="1:39" x14ac:dyDescent="0.45">
      <c r="A49" t="s">
        <v>19</v>
      </c>
      <c r="B49">
        <v>9.3609999999999999E-2</v>
      </c>
      <c r="C49">
        <v>0.87011306347159945</v>
      </c>
      <c r="D49">
        <v>3.2065461363672809</v>
      </c>
      <c r="F49" s="6" t="s">
        <v>17</v>
      </c>
      <c r="G49" s="6">
        <v>3.9280000000000002E-2</v>
      </c>
      <c r="H49" s="6"/>
      <c r="I49" s="6" t="s">
        <v>51</v>
      </c>
      <c r="J49" s="6">
        <v>0.37822372293229178</v>
      </c>
      <c r="K49" s="6"/>
      <c r="L49" s="6" t="s">
        <v>17</v>
      </c>
      <c r="M49" s="6">
        <v>1.4806807761179237</v>
      </c>
      <c r="AA49" t="s">
        <v>19</v>
      </c>
      <c r="AB49">
        <v>-0.12678947368421054</v>
      </c>
      <c r="AC49">
        <v>-0.18689636917868291</v>
      </c>
      <c r="AD49">
        <v>-0.24370609985396191</v>
      </c>
      <c r="AF49" s="6" t="s">
        <v>17</v>
      </c>
      <c r="AG49" s="6">
        <v>-0.41273684210526312</v>
      </c>
      <c r="AH49" s="6"/>
      <c r="AI49" s="6" t="s">
        <v>51</v>
      </c>
      <c r="AJ49" s="6">
        <v>-0.48144088447168154</v>
      </c>
      <c r="AK49" s="6"/>
      <c r="AL49" s="6" t="s">
        <v>17</v>
      </c>
      <c r="AM49" s="6">
        <v>-0.40452098619847898</v>
      </c>
    </row>
    <row r="50" spans="1:39" x14ac:dyDescent="0.45">
      <c r="A50" t="s">
        <v>20</v>
      </c>
      <c r="B50">
        <v>5.2080000000000001E-2</v>
      </c>
      <c r="C50">
        <v>0.35783199185192188</v>
      </c>
      <c r="D50">
        <v>1.1049889892447677</v>
      </c>
      <c r="F50" s="6" t="s">
        <v>49</v>
      </c>
      <c r="G50" s="6">
        <v>4.0189999999999997E-2</v>
      </c>
      <c r="H50" s="6"/>
      <c r="I50" s="6" t="s">
        <v>17</v>
      </c>
      <c r="J50" s="6">
        <v>0.38784165488193301</v>
      </c>
      <c r="K50" s="6"/>
      <c r="L50" s="6" t="s">
        <v>49</v>
      </c>
      <c r="M50" s="6">
        <v>1.4907648502410067</v>
      </c>
      <c r="AA50" t="s">
        <v>20</v>
      </c>
      <c r="AB50">
        <v>-0.34536842105263155</v>
      </c>
      <c r="AC50">
        <v>-0.49365150188507662</v>
      </c>
      <c r="AD50">
        <v>-0.43952767524741265</v>
      </c>
      <c r="AF50" s="6" t="s">
        <v>49</v>
      </c>
      <c r="AG50" s="6">
        <v>-0.40794736842105261</v>
      </c>
      <c r="AH50" s="6"/>
      <c r="AI50" s="6" t="s">
        <v>17</v>
      </c>
      <c r="AJ50" s="6">
        <v>-0.4756816437832736</v>
      </c>
      <c r="AK50" s="6"/>
      <c r="AL50" s="6" t="s">
        <v>49</v>
      </c>
      <c r="AM50" s="6">
        <v>-0.40358135946319357</v>
      </c>
    </row>
    <row r="51" spans="1:39" x14ac:dyDescent="0.45">
      <c r="A51" t="s">
        <v>21</v>
      </c>
      <c r="B51">
        <v>3.823E-2</v>
      </c>
      <c r="C51">
        <v>0.47279806463496149</v>
      </c>
      <c r="D51">
        <v>2.059170414403042</v>
      </c>
      <c r="F51" s="6" t="s">
        <v>22</v>
      </c>
      <c r="G51" s="6">
        <v>4.0719999999999999E-2</v>
      </c>
      <c r="H51" s="6"/>
      <c r="I51" s="6" t="s">
        <v>49</v>
      </c>
      <c r="J51" s="6">
        <v>0.39281260463645079</v>
      </c>
      <c r="K51" s="6"/>
      <c r="L51" s="6" t="s">
        <v>14</v>
      </c>
      <c r="M51" s="6">
        <v>1.5482124484755211</v>
      </c>
      <c r="AA51" t="s">
        <v>21</v>
      </c>
      <c r="AB51">
        <v>-0.41826315789473684</v>
      </c>
      <c r="AC51">
        <v>-0.42480954213475358</v>
      </c>
      <c r="AD51">
        <v>-0.35061773999226226</v>
      </c>
      <c r="AF51" s="6" t="s">
        <v>22</v>
      </c>
      <c r="AG51" s="6">
        <v>-0.40515789473684205</v>
      </c>
      <c r="AH51" s="6"/>
      <c r="AI51" s="6" t="s">
        <v>49</v>
      </c>
      <c r="AJ51" s="6">
        <v>-0.47270502716380186</v>
      </c>
      <c r="AK51" s="6"/>
      <c r="AL51" s="6" t="s">
        <v>14</v>
      </c>
      <c r="AM51" s="6">
        <v>-0.39822843379840472</v>
      </c>
    </row>
    <row r="52" spans="1:39" x14ac:dyDescent="0.45">
      <c r="A52" t="s">
        <v>22</v>
      </c>
      <c r="B52">
        <v>4.0719999999999999E-2</v>
      </c>
      <c r="C52">
        <v>0.62772792059102112</v>
      </c>
      <c r="D52">
        <v>3.1100784699909849</v>
      </c>
      <c r="F52" s="6" t="s">
        <v>65</v>
      </c>
      <c r="G52" s="6">
        <v>4.258E-2</v>
      </c>
      <c r="H52" s="6"/>
      <c r="I52" s="6" t="s">
        <v>57</v>
      </c>
      <c r="J52" s="6">
        <v>0.39858565782271144</v>
      </c>
      <c r="K52" s="6"/>
      <c r="L52" s="6" t="s">
        <v>17</v>
      </c>
      <c r="M52" s="6">
        <v>1.5567731931733471</v>
      </c>
      <c r="AA52" t="s">
        <v>22</v>
      </c>
      <c r="AB52">
        <v>-0.40515789473684205</v>
      </c>
      <c r="AC52">
        <v>-0.33203717329878968</v>
      </c>
      <c r="AD52">
        <v>-0.25269488725391498</v>
      </c>
      <c r="AF52" s="6" t="s">
        <v>65</v>
      </c>
      <c r="AG52" s="6">
        <v>-0.39536842105263154</v>
      </c>
      <c r="AH52" s="6"/>
      <c r="AI52" s="6" t="s">
        <v>57</v>
      </c>
      <c r="AJ52" s="6">
        <v>-0.46924810908819675</v>
      </c>
      <c r="AK52" s="6"/>
      <c r="AL52" s="6" t="s">
        <v>17</v>
      </c>
      <c r="AM52" s="6">
        <v>-0.3974307497974891</v>
      </c>
    </row>
    <row r="53" spans="1:39" x14ac:dyDescent="0.45">
      <c r="A53" t="s">
        <v>23</v>
      </c>
      <c r="B53">
        <v>1.0659999999999999E-2</v>
      </c>
      <c r="C53">
        <v>0.30912398243847794</v>
      </c>
      <c r="D53">
        <v>2.2165269685831226</v>
      </c>
      <c r="F53" s="6" t="s">
        <v>33</v>
      </c>
      <c r="G53" s="6">
        <v>4.3040000000000002E-2</v>
      </c>
      <c r="H53" s="6"/>
      <c r="I53" s="6" t="s">
        <v>61</v>
      </c>
      <c r="J53" s="6">
        <v>0.44189281357914828</v>
      </c>
      <c r="K53" s="6"/>
      <c r="L53" s="6" t="s">
        <v>57</v>
      </c>
      <c r="M53" s="6">
        <v>1.6997944185207976</v>
      </c>
      <c r="AA53" t="s">
        <v>23</v>
      </c>
      <c r="AB53">
        <v>-0.56336842105263152</v>
      </c>
      <c r="AC53">
        <v>-0.52281797458773771</v>
      </c>
      <c r="AD53">
        <v>-0.33595537005375303</v>
      </c>
      <c r="AF53" s="6" t="s">
        <v>33</v>
      </c>
      <c r="AG53" s="6">
        <v>-0.39294736842105266</v>
      </c>
      <c r="AH53" s="6"/>
      <c r="AI53" s="6" t="s">
        <v>61</v>
      </c>
      <c r="AJ53" s="6">
        <v>-0.44331568049152797</v>
      </c>
      <c r="AK53" s="6"/>
      <c r="AL53" s="6" t="s">
        <v>57</v>
      </c>
      <c r="AM53" s="6">
        <v>-0.38410413543414118</v>
      </c>
    </row>
    <row r="54" spans="1:39" x14ac:dyDescent="0.45">
      <c r="A54" t="s">
        <v>24</v>
      </c>
      <c r="B54">
        <v>0.30590000000000001</v>
      </c>
      <c r="C54">
        <v>4.2505196374318324</v>
      </c>
      <c r="D54">
        <v>19.817834916927318</v>
      </c>
      <c r="F54" s="6" t="s">
        <v>63</v>
      </c>
      <c r="G54" s="6">
        <v>4.4260000000000001E-2</v>
      </c>
      <c r="H54" s="6"/>
      <c r="I54" s="6" t="s">
        <v>21</v>
      </c>
      <c r="J54" s="6">
        <v>0.47279806463496149</v>
      </c>
      <c r="K54" s="6"/>
      <c r="L54" s="6" t="s">
        <v>61</v>
      </c>
      <c r="M54" s="6">
        <v>1.8412200446128824</v>
      </c>
      <c r="AA54" t="s">
        <v>24</v>
      </c>
      <c r="AB54">
        <v>0.9905263157894737</v>
      </c>
      <c r="AC54">
        <v>1.8372991840909179</v>
      </c>
      <c r="AD54">
        <v>1.3041217775742937</v>
      </c>
      <c r="AF54" s="6" t="s">
        <v>63</v>
      </c>
      <c r="AG54" s="6">
        <v>-0.38652631578947372</v>
      </c>
      <c r="AH54" s="6"/>
      <c r="AI54" s="6" t="s">
        <v>21</v>
      </c>
      <c r="AJ54" s="6">
        <v>-0.42480954213475358</v>
      </c>
      <c r="AK54" s="6"/>
      <c r="AL54" s="6" t="s">
        <v>61</v>
      </c>
      <c r="AM54" s="6">
        <v>-0.37092619785567632</v>
      </c>
    </row>
    <row r="55" spans="1:39" x14ac:dyDescent="0.45">
      <c r="A55" t="s">
        <v>25</v>
      </c>
      <c r="B55">
        <v>2.8240000000000001E-2</v>
      </c>
      <c r="C55">
        <v>0.93587577512524911</v>
      </c>
      <c r="D55">
        <v>7.2556725526337758</v>
      </c>
      <c r="F55" s="6" t="s">
        <v>66</v>
      </c>
      <c r="G55" s="6">
        <v>4.7849999999999997E-2</v>
      </c>
      <c r="H55" s="6"/>
      <c r="I55" s="6" t="s">
        <v>65</v>
      </c>
      <c r="J55" s="6">
        <v>0.4932917554459077</v>
      </c>
      <c r="K55" s="6"/>
      <c r="L55" s="6" t="s">
        <v>28</v>
      </c>
      <c r="M55" s="6">
        <v>1.9539796534200873</v>
      </c>
      <c r="AA55" t="s">
        <v>25</v>
      </c>
      <c r="AB55">
        <v>-0.4708421052631579</v>
      </c>
      <c r="AC55">
        <v>-0.14751749992500046</v>
      </c>
      <c r="AD55">
        <v>0.13358857180709802</v>
      </c>
      <c r="AF55" s="6" t="s">
        <v>66</v>
      </c>
      <c r="AG55" s="6">
        <v>-0.36763157894736842</v>
      </c>
      <c r="AH55" s="6"/>
      <c r="AI55" s="6" t="s">
        <v>65</v>
      </c>
      <c r="AJ55" s="6">
        <v>-0.41253787099047434</v>
      </c>
      <c r="AK55" s="6"/>
      <c r="AL55" s="6" t="s">
        <v>28</v>
      </c>
      <c r="AM55" s="6">
        <v>-0.36041933904024537</v>
      </c>
    </row>
    <row r="56" spans="1:39" x14ac:dyDescent="0.45">
      <c r="A56" t="s">
        <v>26</v>
      </c>
      <c r="B56">
        <v>7.6160000000000005E-2</v>
      </c>
      <c r="C56">
        <v>0.3626548132726225</v>
      </c>
      <c r="D56">
        <v>0.90367097169987176</v>
      </c>
      <c r="F56" s="6" t="s">
        <v>67</v>
      </c>
      <c r="G56" s="6">
        <v>4.7849999999999997E-2</v>
      </c>
      <c r="H56" s="6"/>
      <c r="I56" s="6" t="s">
        <v>17</v>
      </c>
      <c r="J56" s="6">
        <v>0.50587089140490937</v>
      </c>
      <c r="K56" s="6"/>
      <c r="L56" s="6" t="s">
        <v>13</v>
      </c>
      <c r="M56" s="6">
        <v>1.9620390120168407</v>
      </c>
      <c r="AA56" t="s">
        <v>26</v>
      </c>
      <c r="AB56">
        <v>-0.21863157894736837</v>
      </c>
      <c r="AC56">
        <v>-0.49076358486669308</v>
      </c>
      <c r="AD56">
        <v>-0.45828634255498779</v>
      </c>
      <c r="AF56" s="6" t="s">
        <v>67</v>
      </c>
      <c r="AG56" s="6">
        <v>-0.36763157894736842</v>
      </c>
      <c r="AH56" s="6"/>
      <c r="AI56" s="6" t="s">
        <v>17</v>
      </c>
      <c r="AJ56" s="6">
        <v>-0.40500545424855722</v>
      </c>
      <c r="AK56" s="6"/>
      <c r="AL56" s="6" t="s">
        <v>13</v>
      </c>
      <c r="AM56" s="6">
        <v>-0.35966837383368988</v>
      </c>
    </row>
    <row r="57" spans="1:39" x14ac:dyDescent="0.45">
      <c r="A57" t="s">
        <v>27</v>
      </c>
      <c r="B57">
        <v>0.1961</v>
      </c>
      <c r="C57">
        <v>1.9509980270212828</v>
      </c>
      <c r="D57">
        <v>7.4815614217753161</v>
      </c>
      <c r="F57" s="6" t="s">
        <v>11</v>
      </c>
      <c r="G57" s="6">
        <v>5.0369999999999998E-2</v>
      </c>
      <c r="H57" s="6"/>
      <c r="I57" s="6" t="s">
        <v>63</v>
      </c>
      <c r="J57" s="6">
        <v>0.51364391297939893</v>
      </c>
      <c r="K57" s="6"/>
      <c r="L57" s="6" t="s">
        <v>21</v>
      </c>
      <c r="M57" s="6">
        <v>2.059170414403042</v>
      </c>
      <c r="AA57" t="s">
        <v>27</v>
      </c>
      <c r="AB57">
        <v>0.4126315789473684</v>
      </c>
      <c r="AC57">
        <v>0.46034013594088796</v>
      </c>
      <c r="AD57">
        <v>0.15463673329997354</v>
      </c>
      <c r="AF57" s="6" t="s">
        <v>11</v>
      </c>
      <c r="AG57" s="6">
        <v>-0.35436842105263155</v>
      </c>
      <c r="AH57" s="6"/>
      <c r="AI57" s="6" t="s">
        <v>63</v>
      </c>
      <c r="AJ57" s="6">
        <v>-0.40035095031173712</v>
      </c>
      <c r="AK57" s="6"/>
      <c r="AL57" s="6" t="s">
        <v>21</v>
      </c>
      <c r="AM57" s="6">
        <v>-0.35061773999226226</v>
      </c>
    </row>
    <row r="58" spans="1:39" x14ac:dyDescent="0.45">
      <c r="A58" t="s">
        <v>28</v>
      </c>
      <c r="B58">
        <v>5.9959999999999999E-2</v>
      </c>
      <c r="C58">
        <v>0.54007210753640622</v>
      </c>
      <c r="D58">
        <v>1.9539796534200873</v>
      </c>
      <c r="F58" s="6" t="s">
        <v>20</v>
      </c>
      <c r="G58" s="6">
        <v>5.2080000000000001E-2</v>
      </c>
      <c r="H58" s="6"/>
      <c r="I58" s="6" t="s">
        <v>5</v>
      </c>
      <c r="J58" s="6">
        <v>0.51371130820071587</v>
      </c>
      <c r="K58" s="6"/>
      <c r="L58" s="6" t="s">
        <v>65</v>
      </c>
      <c r="M58" s="6">
        <v>2.0678601141091404</v>
      </c>
      <c r="AA58" t="s">
        <v>28</v>
      </c>
      <c r="AB58">
        <v>-0.30389473684210527</v>
      </c>
      <c r="AC58">
        <v>-0.38452568410993637</v>
      </c>
      <c r="AD58">
        <v>-0.36041933904024537</v>
      </c>
      <c r="AF58" s="6" t="s">
        <v>20</v>
      </c>
      <c r="AG58" s="6">
        <v>-0.34536842105263155</v>
      </c>
      <c r="AH58" s="6"/>
      <c r="AI58" s="6" t="s">
        <v>5</v>
      </c>
      <c r="AJ58" s="6">
        <v>-0.40031059389178686</v>
      </c>
      <c r="AK58" s="6"/>
      <c r="AL58" s="6" t="s">
        <v>65</v>
      </c>
      <c r="AM58" s="6">
        <v>-0.34980804005691951</v>
      </c>
    </row>
    <row r="59" spans="1:39" x14ac:dyDescent="0.45">
      <c r="A59" t="s">
        <v>29</v>
      </c>
      <c r="B59">
        <v>0.1051</v>
      </c>
      <c r="C59">
        <v>0.7138993345248219</v>
      </c>
      <c r="D59">
        <v>2.1898070053022374</v>
      </c>
      <c r="F59" s="6" t="s">
        <v>60</v>
      </c>
      <c r="G59" s="6">
        <v>5.3150000000000003E-2</v>
      </c>
      <c r="H59" s="6"/>
      <c r="I59" s="6" t="s">
        <v>14</v>
      </c>
      <c r="J59" s="6">
        <v>0.53368902328404444</v>
      </c>
      <c r="K59" s="6"/>
      <c r="L59" s="6" t="s">
        <v>63</v>
      </c>
      <c r="M59" s="6">
        <v>2.1553594353107481</v>
      </c>
      <c r="AA59" t="s">
        <v>29</v>
      </c>
      <c r="AB59">
        <v>-6.6315789473684217E-2</v>
      </c>
      <c r="AC59">
        <v>-0.28043752423663354</v>
      </c>
      <c r="AD59">
        <v>-0.33844511691183032</v>
      </c>
      <c r="AF59" s="6" t="s">
        <v>60</v>
      </c>
      <c r="AG59" s="6">
        <v>-0.33973684210526311</v>
      </c>
      <c r="AH59" s="6"/>
      <c r="AI59" s="6" t="s">
        <v>14</v>
      </c>
      <c r="AJ59" s="6">
        <v>-0.38834789024907512</v>
      </c>
      <c r="AK59" s="6"/>
      <c r="AL59" s="6" t="s">
        <v>63</v>
      </c>
      <c r="AM59" s="6">
        <v>-0.34165491657559188</v>
      </c>
    </row>
    <row r="60" spans="1:39" x14ac:dyDescent="0.45">
      <c r="A60" t="s">
        <v>30</v>
      </c>
      <c r="B60">
        <v>1.8440000000000002E-2</v>
      </c>
      <c r="C60">
        <v>0.12598898318469523</v>
      </c>
      <c r="D60">
        <v>0.38778043848968735</v>
      </c>
      <c r="F60" s="6" t="s">
        <v>50</v>
      </c>
      <c r="G60" s="6">
        <v>5.3560000000000003E-2</v>
      </c>
      <c r="H60" s="6"/>
      <c r="I60" s="6" t="s">
        <v>28</v>
      </c>
      <c r="J60" s="6">
        <v>0.54007210753640622</v>
      </c>
      <c r="K60" s="6"/>
      <c r="L60" s="6" t="s">
        <v>29</v>
      </c>
      <c r="M60" s="6">
        <v>2.1898070053022374</v>
      </c>
      <c r="AA60" t="s">
        <v>30</v>
      </c>
      <c r="AB60">
        <v>-0.5224210526315789</v>
      </c>
      <c r="AC60">
        <v>-0.63247965078760759</v>
      </c>
      <c r="AD60">
        <v>-0.50635664941393155</v>
      </c>
      <c r="AF60" s="6" t="s">
        <v>50</v>
      </c>
      <c r="AG60" s="6">
        <v>-0.33757894736842109</v>
      </c>
      <c r="AH60" s="6"/>
      <c r="AI60" s="6" t="s">
        <v>28</v>
      </c>
      <c r="AJ60" s="6">
        <v>-0.38452568410993637</v>
      </c>
      <c r="AK60" s="6"/>
      <c r="AL60" s="6" t="s">
        <v>29</v>
      </c>
      <c r="AM60" s="6">
        <v>-0.33844511691183032</v>
      </c>
    </row>
    <row r="61" spans="1:39" x14ac:dyDescent="0.45">
      <c r="A61" t="s">
        <v>31</v>
      </c>
      <c r="B61">
        <v>0.1454</v>
      </c>
      <c r="C61">
        <v>0.91601072947319429</v>
      </c>
      <c r="D61">
        <v>2.688684844491759</v>
      </c>
      <c r="F61" s="6" t="s">
        <v>28</v>
      </c>
      <c r="G61" s="6">
        <v>5.9959999999999999E-2</v>
      </c>
      <c r="H61" s="6"/>
      <c r="I61" s="6" t="s">
        <v>0</v>
      </c>
      <c r="J61" s="6">
        <v>0.57643675465375055</v>
      </c>
      <c r="K61" s="6"/>
      <c r="L61" s="6" t="s">
        <v>23</v>
      </c>
      <c r="M61" s="6">
        <v>2.2165269685831226</v>
      </c>
      <c r="AA61" t="s">
        <v>31</v>
      </c>
      <c r="AB61">
        <v>0.14578947368421052</v>
      </c>
      <c r="AC61">
        <v>-0.15941273684239857</v>
      </c>
      <c r="AD61">
        <v>-0.29196004058034303</v>
      </c>
      <c r="AF61" s="6" t="s">
        <v>28</v>
      </c>
      <c r="AG61" s="6">
        <v>-0.30389473684210527</v>
      </c>
      <c r="AH61" s="6"/>
      <c r="AI61" s="6" t="s">
        <v>0</v>
      </c>
      <c r="AJ61" s="6">
        <v>-0.36275044631511938</v>
      </c>
      <c r="AK61" s="6"/>
      <c r="AL61" s="6" t="s">
        <v>23</v>
      </c>
      <c r="AM61" s="6">
        <v>-0.33595537005375303</v>
      </c>
    </row>
    <row r="62" spans="1:39" x14ac:dyDescent="0.45">
      <c r="A62" t="s">
        <v>32</v>
      </c>
      <c r="B62">
        <v>7.281E-2</v>
      </c>
      <c r="C62">
        <v>0.27026151759086181</v>
      </c>
      <c r="D62">
        <v>0.58212459881609036</v>
      </c>
      <c r="F62" s="6" t="s">
        <v>34</v>
      </c>
      <c r="G62" s="6">
        <v>6.0539999999999997E-2</v>
      </c>
      <c r="H62" s="6"/>
      <c r="I62" s="6" t="s">
        <v>13</v>
      </c>
      <c r="J62" s="6">
        <v>0.60927243788837793</v>
      </c>
      <c r="K62" s="6"/>
      <c r="L62" s="6" t="s">
        <v>5</v>
      </c>
      <c r="M62" s="6">
        <v>2.443862241756265</v>
      </c>
      <c r="AA62" t="s">
        <v>32</v>
      </c>
      <c r="AB62">
        <v>-0.23626315789473684</v>
      </c>
      <c r="AC62">
        <v>-0.54608891162223838</v>
      </c>
      <c r="AD62">
        <v>-0.48824780107938037</v>
      </c>
      <c r="AF62" s="6" t="s">
        <v>34</v>
      </c>
      <c r="AG62" s="6">
        <v>-0.30084210526315791</v>
      </c>
      <c r="AH62" s="6"/>
      <c r="AI62" s="6" t="s">
        <v>13</v>
      </c>
      <c r="AJ62" s="6">
        <v>-0.34308836054588143</v>
      </c>
      <c r="AK62" s="6"/>
      <c r="AL62" s="6" t="s">
        <v>5</v>
      </c>
      <c r="AM62" s="6">
        <v>-0.31477243367906593</v>
      </c>
    </row>
    <row r="63" spans="1:39" x14ac:dyDescent="0.45">
      <c r="A63" t="s">
        <v>33</v>
      </c>
      <c r="B63">
        <v>4.3040000000000002E-2</v>
      </c>
      <c r="C63">
        <v>0.14263800728989859</v>
      </c>
      <c r="D63">
        <v>0.28751840001338019</v>
      </c>
      <c r="F63" s="6" t="s">
        <v>58</v>
      </c>
      <c r="G63" s="6">
        <v>6.447E-2</v>
      </c>
      <c r="H63" s="6"/>
      <c r="I63" s="6" t="s">
        <v>22</v>
      </c>
      <c r="J63" s="6">
        <v>0.62772792059102112</v>
      </c>
      <c r="K63" s="6"/>
      <c r="L63" s="6" t="s">
        <v>15</v>
      </c>
      <c r="M63" s="6">
        <v>2.6128112977564553</v>
      </c>
      <c r="AA63" t="s">
        <v>33</v>
      </c>
      <c r="AB63">
        <v>-0.39294736842105266</v>
      </c>
      <c r="AC63">
        <v>-0.62251017527550989</v>
      </c>
      <c r="AD63">
        <v>-0.51569899366256244</v>
      </c>
      <c r="AF63" s="6" t="s">
        <v>58</v>
      </c>
      <c r="AG63" s="6">
        <v>-0.28015789473684211</v>
      </c>
      <c r="AH63" s="6"/>
      <c r="AI63" s="6" t="s">
        <v>22</v>
      </c>
      <c r="AJ63" s="6">
        <v>-0.33203717329878968</v>
      </c>
      <c r="AK63" s="6"/>
      <c r="AL63" s="6" t="s">
        <v>15</v>
      </c>
      <c r="AM63" s="6">
        <v>-0.29902988280316295</v>
      </c>
    </row>
    <row r="64" spans="1:39" x14ac:dyDescent="0.45">
      <c r="A64" t="s">
        <v>34</v>
      </c>
      <c r="B64">
        <v>6.0539999999999997E-2</v>
      </c>
      <c r="C64">
        <v>0.26332625164763374</v>
      </c>
      <c r="D64">
        <v>0.62231538919407858</v>
      </c>
      <c r="F64" s="6" t="s">
        <v>4</v>
      </c>
      <c r="G64" s="6">
        <v>6.4990000000000006E-2</v>
      </c>
      <c r="H64" s="6"/>
      <c r="I64" s="6" t="s">
        <v>15</v>
      </c>
      <c r="J64" s="6">
        <v>0.70139344417318739</v>
      </c>
      <c r="K64" s="6"/>
      <c r="L64" s="6" t="s">
        <v>55</v>
      </c>
      <c r="M64" s="6">
        <v>2.6573656388836722</v>
      </c>
      <c r="AA64" t="s">
        <v>34</v>
      </c>
      <c r="AB64">
        <v>-0.30084210526315791</v>
      </c>
      <c r="AC64">
        <v>-0.55024176548045878</v>
      </c>
      <c r="AD64">
        <v>-0.48450285229276202</v>
      </c>
      <c r="AF64" s="6" t="s">
        <v>4</v>
      </c>
      <c r="AG64" s="6">
        <v>-0.2774210526315789</v>
      </c>
      <c r="AH64" s="6"/>
      <c r="AI64" s="6" t="s">
        <v>15</v>
      </c>
      <c r="AJ64" s="6">
        <v>-0.28792608133342068</v>
      </c>
      <c r="AK64" s="6"/>
      <c r="AL64" s="6" t="s">
        <v>55</v>
      </c>
      <c r="AM64" s="6">
        <v>-0.29487834151288933</v>
      </c>
    </row>
    <row r="65" spans="1:39" x14ac:dyDescent="0.45">
      <c r="A65" t="s">
        <v>35</v>
      </c>
      <c r="B65">
        <v>0.1037</v>
      </c>
      <c r="C65">
        <v>0.93633128901295892</v>
      </c>
      <c r="D65">
        <v>3.3924881971265064</v>
      </c>
      <c r="F65" s="6" t="s">
        <v>10</v>
      </c>
      <c r="G65" s="6">
        <v>6.6570000000000004E-2</v>
      </c>
      <c r="H65" s="6"/>
      <c r="I65" s="6" t="s">
        <v>29</v>
      </c>
      <c r="J65" s="6">
        <v>0.7138993345248219</v>
      </c>
      <c r="K65" s="6"/>
      <c r="L65" s="6" t="s">
        <v>37</v>
      </c>
      <c r="M65" s="6">
        <v>2.6784472295284418</v>
      </c>
      <c r="AA65" t="s">
        <v>35</v>
      </c>
      <c r="AB65">
        <v>-7.3684210526315783E-2</v>
      </c>
      <c r="AC65">
        <v>-0.14724473711798861</v>
      </c>
      <c r="AD65">
        <v>-0.22638015308176423</v>
      </c>
      <c r="AF65" s="6" t="s">
        <v>10</v>
      </c>
      <c r="AG65" s="6">
        <v>-0.26910526315789468</v>
      </c>
      <c r="AH65" s="6"/>
      <c r="AI65" s="6" t="s">
        <v>29</v>
      </c>
      <c r="AJ65" s="6">
        <v>-0.28043752423663354</v>
      </c>
      <c r="AK65" s="6"/>
      <c r="AL65" s="6" t="s">
        <v>37</v>
      </c>
      <c r="AM65" s="6">
        <v>-0.29291397414010051</v>
      </c>
    </row>
    <row r="66" spans="1:39" x14ac:dyDescent="0.45">
      <c r="A66" t="s">
        <v>36</v>
      </c>
      <c r="B66">
        <v>0.20330000000000001</v>
      </c>
      <c r="C66">
        <v>2.4361910923846644</v>
      </c>
      <c r="D66">
        <v>10.416324128114848</v>
      </c>
      <c r="F66" s="6" t="s">
        <v>32</v>
      </c>
      <c r="G66" s="6">
        <v>7.281E-2</v>
      </c>
      <c r="H66" s="6"/>
      <c r="I66" s="6" t="s">
        <v>4</v>
      </c>
      <c r="J66" s="6">
        <v>0.76750569399318491</v>
      </c>
      <c r="K66" s="6"/>
      <c r="L66" s="6" t="s">
        <v>31</v>
      </c>
      <c r="M66" s="6">
        <v>2.688684844491759</v>
      </c>
      <c r="AA66" t="s">
        <v>36</v>
      </c>
      <c r="AB66">
        <v>0.45052631578947372</v>
      </c>
      <c r="AC66">
        <v>0.75087490561955961</v>
      </c>
      <c r="AD66">
        <v>0.42809580023433175</v>
      </c>
      <c r="AF66" s="6" t="s">
        <v>32</v>
      </c>
      <c r="AG66" s="6">
        <v>-0.23626315789473684</v>
      </c>
      <c r="AH66" s="6"/>
      <c r="AI66" s="6" t="s">
        <v>4</v>
      </c>
      <c r="AJ66" s="6">
        <v>-0.24833790778851197</v>
      </c>
      <c r="AK66" s="6"/>
      <c r="AL66" s="6" t="s">
        <v>31</v>
      </c>
      <c r="AM66" s="6">
        <v>-0.29196004058034303</v>
      </c>
    </row>
    <row r="67" spans="1:39" x14ac:dyDescent="0.45">
      <c r="A67" t="s">
        <v>37</v>
      </c>
      <c r="B67">
        <v>1.343</v>
      </c>
      <c r="C67">
        <v>2.0759869153659007</v>
      </c>
      <c r="D67">
        <v>2.6784472295284418</v>
      </c>
      <c r="F67" s="6" t="s">
        <v>17</v>
      </c>
      <c r="G67" s="6">
        <v>7.4060000000000001E-2</v>
      </c>
      <c r="H67" s="6"/>
      <c r="I67" s="6" t="s">
        <v>52</v>
      </c>
      <c r="J67" s="6">
        <v>0.78117659180428412</v>
      </c>
      <c r="K67" s="6"/>
      <c r="L67" s="6" t="s">
        <v>52</v>
      </c>
      <c r="M67" s="6">
        <v>2.7614139763556396</v>
      </c>
      <c r="AA67" t="s">
        <v>37</v>
      </c>
      <c r="AB67">
        <v>6.4489473684210532</v>
      </c>
      <c r="AC67">
        <v>0.53518378165622804</v>
      </c>
      <c r="AD67">
        <v>-0.29291397414010051</v>
      </c>
      <c r="AF67" s="6" t="s">
        <v>17</v>
      </c>
      <c r="AG67" s="6">
        <v>-0.22968421052631577</v>
      </c>
      <c r="AH67" s="6"/>
      <c r="AI67" s="6" t="s">
        <v>52</v>
      </c>
      <c r="AJ67" s="6">
        <v>-0.24015174143456036</v>
      </c>
      <c r="AK67" s="6"/>
      <c r="AL67" s="6" t="s">
        <v>52</v>
      </c>
      <c r="AM67" s="6">
        <v>-0.28518319266160647</v>
      </c>
    </row>
    <row r="68" spans="1:39" x14ac:dyDescent="0.45">
      <c r="A68" t="s">
        <v>49</v>
      </c>
      <c r="B68">
        <v>4.0189999999999997E-2</v>
      </c>
      <c r="C68">
        <v>0.39281260463645079</v>
      </c>
      <c r="D68">
        <v>1.4907648502410067</v>
      </c>
      <c r="F68" s="6" t="s">
        <v>15</v>
      </c>
      <c r="G68" s="6">
        <v>7.4079999999999993E-2</v>
      </c>
      <c r="H68" s="6"/>
      <c r="I68" s="6" t="s">
        <v>58</v>
      </c>
      <c r="J68" s="6">
        <v>0.80317261381892979</v>
      </c>
      <c r="K68" s="6"/>
      <c r="L68" s="6" t="s">
        <v>0</v>
      </c>
      <c r="M68" s="6">
        <v>2.8003875756804453</v>
      </c>
      <c r="AA68" t="s">
        <v>49</v>
      </c>
      <c r="AB68">
        <v>-0.40794736842105261</v>
      </c>
      <c r="AC68">
        <v>-0.47270502716380186</v>
      </c>
      <c r="AD68">
        <v>-0.40358135946319357</v>
      </c>
      <c r="AF68" s="6" t="s">
        <v>15</v>
      </c>
      <c r="AG68" s="6">
        <v>-0.22957894736842108</v>
      </c>
      <c r="AH68" s="6"/>
      <c r="AI68" s="6" t="s">
        <v>58</v>
      </c>
      <c r="AJ68" s="6">
        <v>-0.22698047076710787</v>
      </c>
      <c r="AK68" s="6"/>
      <c r="AL68" s="6" t="s">
        <v>0</v>
      </c>
      <c r="AM68" s="6">
        <v>-0.2815516608572079</v>
      </c>
    </row>
    <row r="69" spans="1:39" x14ac:dyDescent="0.45">
      <c r="A69" t="s">
        <v>17</v>
      </c>
      <c r="B69">
        <v>3.9280000000000002E-2</v>
      </c>
      <c r="C69">
        <v>0.38784165488193301</v>
      </c>
      <c r="D69">
        <v>1.4806807761179237</v>
      </c>
      <c r="F69" s="6" t="s">
        <v>51</v>
      </c>
      <c r="G69" s="6">
        <v>7.5509999999999994E-2</v>
      </c>
      <c r="H69" s="6"/>
      <c r="I69" s="6" t="s">
        <v>66</v>
      </c>
      <c r="J69" s="6">
        <v>0.8405799959739676</v>
      </c>
      <c r="K69" s="6"/>
      <c r="L69" s="6" t="s">
        <v>22</v>
      </c>
      <c r="M69" s="6">
        <v>3.1100784699909849</v>
      </c>
      <c r="AA69" t="s">
        <v>17</v>
      </c>
      <c r="AB69">
        <v>-0.41273684210526312</v>
      </c>
      <c r="AC69">
        <v>-0.4756816437832736</v>
      </c>
      <c r="AD69">
        <v>-0.40452098619847898</v>
      </c>
      <c r="AF69" s="6" t="s">
        <v>51</v>
      </c>
      <c r="AG69" s="6">
        <v>-0.22205263157894739</v>
      </c>
      <c r="AH69" s="6"/>
      <c r="AI69" s="6" t="s">
        <v>66</v>
      </c>
      <c r="AJ69" s="6">
        <v>-0.20458084073415109</v>
      </c>
      <c r="AK69" s="6"/>
      <c r="AL69" s="6" t="s">
        <v>22</v>
      </c>
      <c r="AM69" s="6">
        <v>-0.25269488725391498</v>
      </c>
    </row>
    <row r="70" spans="1:39" x14ac:dyDescent="0.45">
      <c r="A70" t="s">
        <v>50</v>
      </c>
      <c r="B70">
        <v>5.3560000000000003E-2</v>
      </c>
      <c r="C70">
        <v>1.0430962384515565</v>
      </c>
      <c r="D70">
        <v>5.925391841897107</v>
      </c>
      <c r="F70" s="6" t="s">
        <v>26</v>
      </c>
      <c r="G70" s="6">
        <v>7.6160000000000005E-2</v>
      </c>
      <c r="H70" s="6"/>
      <c r="I70" s="6" t="s">
        <v>67</v>
      </c>
      <c r="J70" s="6">
        <v>0.8405799959739676</v>
      </c>
      <c r="K70" s="6"/>
      <c r="L70" s="6" t="s">
        <v>19</v>
      </c>
      <c r="M70" s="6">
        <v>3.2065461363672809</v>
      </c>
      <c r="AA70" t="s">
        <v>50</v>
      </c>
      <c r="AB70">
        <v>-0.33757894736842109</v>
      </c>
      <c r="AC70">
        <v>-8.3313629669726566E-2</v>
      </c>
      <c r="AD70">
        <v>9.6339770683103749E-3</v>
      </c>
      <c r="AF70" s="6" t="s">
        <v>26</v>
      </c>
      <c r="AG70" s="6">
        <v>-0.21863157894736837</v>
      </c>
      <c r="AH70" s="6"/>
      <c r="AI70" s="6" t="s">
        <v>67</v>
      </c>
      <c r="AJ70" s="6">
        <v>-0.20458084073415109</v>
      </c>
      <c r="AK70" s="6"/>
      <c r="AL70" s="6" t="s">
        <v>19</v>
      </c>
      <c r="AM70" s="6">
        <v>-0.24370609985396191</v>
      </c>
    </row>
    <row r="71" spans="1:39" x14ac:dyDescent="0.45">
      <c r="A71" t="s">
        <v>51</v>
      </c>
      <c r="B71">
        <v>7.5509999999999994E-2</v>
      </c>
      <c r="C71">
        <v>0.37822372293229178</v>
      </c>
      <c r="D71">
        <v>0.97078580231654654</v>
      </c>
      <c r="F71" s="6" t="s">
        <v>12</v>
      </c>
      <c r="G71" s="6">
        <v>8.1009999999999999E-2</v>
      </c>
      <c r="H71" s="6"/>
      <c r="I71" s="6" t="s">
        <v>55</v>
      </c>
      <c r="J71" s="6">
        <v>0.85146828830009036</v>
      </c>
      <c r="K71" s="6"/>
      <c r="L71" s="6" t="s">
        <v>4</v>
      </c>
      <c r="M71" s="6">
        <v>3.2536906762732629</v>
      </c>
      <c r="AA71" t="s">
        <v>51</v>
      </c>
      <c r="AB71">
        <v>-0.22205263157894739</v>
      </c>
      <c r="AC71">
        <v>-0.48144088447168154</v>
      </c>
      <c r="AD71">
        <v>-0.45203263116692632</v>
      </c>
      <c r="AF71" s="6" t="s">
        <v>12</v>
      </c>
      <c r="AG71" s="6">
        <v>-0.19310526315789472</v>
      </c>
      <c r="AH71" s="6"/>
      <c r="AI71" s="6" t="s">
        <v>55</v>
      </c>
      <c r="AJ71" s="6">
        <v>-0.19806090520952668</v>
      </c>
      <c r="AK71" s="6"/>
      <c r="AL71" s="6" t="s">
        <v>4</v>
      </c>
      <c r="AM71" s="6">
        <v>-0.23931320571438103</v>
      </c>
    </row>
    <row r="72" spans="1:39" x14ac:dyDescent="0.45">
      <c r="A72" t="s">
        <v>52</v>
      </c>
      <c r="B72">
        <v>9.0240000000000001E-2</v>
      </c>
      <c r="C72">
        <v>0.78117659180428412</v>
      </c>
      <c r="D72">
        <v>2.7614139763556396</v>
      </c>
      <c r="F72" s="6" t="s">
        <v>64</v>
      </c>
      <c r="G72" s="6">
        <v>8.1280000000000005E-2</v>
      </c>
      <c r="H72" s="6"/>
      <c r="I72" s="6" t="s">
        <v>19</v>
      </c>
      <c r="J72" s="6">
        <v>0.87011306347159945</v>
      </c>
      <c r="K72" s="6"/>
      <c r="L72" s="6" t="s">
        <v>35</v>
      </c>
      <c r="M72" s="6">
        <v>3.3924881971265064</v>
      </c>
      <c r="AA72" t="s">
        <v>52</v>
      </c>
      <c r="AB72">
        <v>-0.14452631578947367</v>
      </c>
      <c r="AC72">
        <v>-0.24015174143456036</v>
      </c>
      <c r="AD72">
        <v>-0.28518319266160647</v>
      </c>
      <c r="AF72" s="6" t="s">
        <v>64</v>
      </c>
      <c r="AG72" s="6">
        <v>-0.19168421052631576</v>
      </c>
      <c r="AH72" s="6"/>
      <c r="AI72" s="6" t="s">
        <v>19</v>
      </c>
      <c r="AJ72" s="6">
        <v>-0.18689636917868291</v>
      </c>
      <c r="AK72" s="6"/>
      <c r="AL72" s="6" t="s">
        <v>35</v>
      </c>
      <c r="AM72" s="6">
        <v>-0.22638015308176423</v>
      </c>
    </row>
    <row r="73" spans="1:39" x14ac:dyDescent="0.45">
      <c r="A73" t="s">
        <v>53</v>
      </c>
      <c r="B73">
        <v>1.193E-2</v>
      </c>
      <c r="C73">
        <v>0.21884929272443976</v>
      </c>
      <c r="D73">
        <v>1.2004364275373716</v>
      </c>
      <c r="F73" s="6" t="s">
        <v>59</v>
      </c>
      <c r="G73" s="6">
        <v>8.2140000000000005E-2</v>
      </c>
      <c r="H73" s="6"/>
      <c r="I73" s="6" t="s">
        <v>31</v>
      </c>
      <c r="J73" s="6">
        <v>0.91601072947319429</v>
      </c>
      <c r="K73" s="6"/>
      <c r="L73" s="6" t="s">
        <v>58</v>
      </c>
      <c r="M73" s="6">
        <v>3.5130618965813669</v>
      </c>
      <c r="AA73" t="s">
        <v>53</v>
      </c>
      <c r="AB73">
        <v>-0.55668421052631578</v>
      </c>
      <c r="AC73">
        <v>-0.57687467501530554</v>
      </c>
      <c r="AD73">
        <v>-0.43063395196260051</v>
      </c>
      <c r="AF73" s="6" t="s">
        <v>59</v>
      </c>
      <c r="AG73" s="6">
        <v>-0.18715789473684208</v>
      </c>
      <c r="AH73" s="6"/>
      <c r="AI73" s="6" t="s">
        <v>31</v>
      </c>
      <c r="AJ73" s="6">
        <v>-0.15941273684239857</v>
      </c>
      <c r="AK73" s="6"/>
      <c r="AL73" s="6" t="s">
        <v>58</v>
      </c>
      <c r="AM73" s="6">
        <v>-0.21514518294992857</v>
      </c>
    </row>
    <row r="74" spans="1:39" x14ac:dyDescent="0.45">
      <c r="A74" t="s">
        <v>54</v>
      </c>
      <c r="B74">
        <v>1.0880000000000001E-2</v>
      </c>
      <c r="C74">
        <v>8.005733443938931E-2</v>
      </c>
      <c r="D74">
        <v>0.25733147239473975</v>
      </c>
      <c r="F74" s="6" t="s">
        <v>13</v>
      </c>
      <c r="G74" s="6">
        <v>8.2540000000000002E-2</v>
      </c>
      <c r="H74" s="6"/>
      <c r="I74" s="6" t="s">
        <v>25</v>
      </c>
      <c r="J74" s="6">
        <v>0.93587577512524911</v>
      </c>
      <c r="K74" s="6"/>
      <c r="L74" s="6" t="s">
        <v>69</v>
      </c>
      <c r="M74" s="6">
        <v>3.5264890964449558</v>
      </c>
      <c r="AA74" t="s">
        <v>54</v>
      </c>
      <c r="AB74">
        <v>-0.56221052631578949</v>
      </c>
      <c r="AC74">
        <v>-0.65998363207222188</v>
      </c>
      <c r="AD74">
        <v>-0.51851178975076972</v>
      </c>
      <c r="AF74" s="6" t="s">
        <v>13</v>
      </c>
      <c r="AG74" s="6">
        <v>-0.18505263157894736</v>
      </c>
      <c r="AH74" s="6"/>
      <c r="AI74" s="6" t="s">
        <v>25</v>
      </c>
      <c r="AJ74" s="6">
        <v>-0.14751749992500046</v>
      </c>
      <c r="AK74" s="6"/>
      <c r="AL74" s="6" t="s">
        <v>69</v>
      </c>
      <c r="AM74" s="6">
        <v>-0.21389404617546071</v>
      </c>
    </row>
    <row r="75" spans="1:39" x14ac:dyDescent="0.45">
      <c r="A75" t="s">
        <v>4</v>
      </c>
      <c r="B75">
        <v>2.8369999999999999E-2</v>
      </c>
      <c r="C75">
        <v>0.31537607504608389</v>
      </c>
      <c r="D75">
        <v>1.2904972372434595</v>
      </c>
      <c r="F75" s="6" t="s">
        <v>14</v>
      </c>
      <c r="G75" s="6">
        <v>8.6430000000000007E-2</v>
      </c>
      <c r="H75" s="6"/>
      <c r="I75" s="6" t="s">
        <v>35</v>
      </c>
      <c r="J75" s="6">
        <v>0.93633128901295892</v>
      </c>
      <c r="K75" s="6"/>
      <c r="L75" s="6" t="s">
        <v>70</v>
      </c>
      <c r="M75" s="6">
        <v>3.9667133335808171</v>
      </c>
      <c r="AA75" t="s">
        <v>4</v>
      </c>
      <c r="AB75">
        <v>-0.47015789473684205</v>
      </c>
      <c r="AC75">
        <v>-0.5190742065592312</v>
      </c>
      <c r="AD75">
        <v>-0.42224215083456396</v>
      </c>
      <c r="AF75" s="6" t="s">
        <v>14</v>
      </c>
      <c r="AG75" s="6">
        <v>-0.16457894736842102</v>
      </c>
      <c r="AH75" s="6"/>
      <c r="AI75" s="6" t="s">
        <v>35</v>
      </c>
      <c r="AJ75" s="6">
        <v>-0.14724473711798861</v>
      </c>
      <c r="AK75" s="6"/>
      <c r="AL75" s="6" t="s">
        <v>70</v>
      </c>
      <c r="AM75" s="6">
        <v>-0.17287427007260373</v>
      </c>
    </row>
    <row r="76" spans="1:39" x14ac:dyDescent="0.45">
      <c r="A76" t="s">
        <v>55</v>
      </c>
      <c r="B76">
        <v>0.1217</v>
      </c>
      <c r="C76">
        <v>0.85146828830009036</v>
      </c>
      <c r="D76">
        <v>2.6573656388836722</v>
      </c>
      <c r="F76" s="6" t="s">
        <v>52</v>
      </c>
      <c r="G76" s="6">
        <v>9.0240000000000001E-2</v>
      </c>
      <c r="H76" s="6"/>
      <c r="I76" s="6" t="s">
        <v>69</v>
      </c>
      <c r="J76" s="6">
        <v>0.97132570695370091</v>
      </c>
      <c r="K76" s="6"/>
      <c r="L76" s="6" t="s">
        <v>64</v>
      </c>
      <c r="M76" s="6">
        <v>4.2631212686783924</v>
      </c>
      <c r="AA76" t="s">
        <v>55</v>
      </c>
      <c r="AB76">
        <v>2.1052631578947385E-2</v>
      </c>
      <c r="AC76">
        <v>-0.19806090520952668</v>
      </c>
      <c r="AD76">
        <v>-0.29487834151288933</v>
      </c>
      <c r="AF76" s="6" t="s">
        <v>52</v>
      </c>
      <c r="AG76" s="6">
        <v>-0.14452631578947367</v>
      </c>
      <c r="AH76" s="6"/>
      <c r="AI76" s="6" t="s">
        <v>69</v>
      </c>
      <c r="AJ76" s="6">
        <v>-0.12628999583610717</v>
      </c>
      <c r="AK76" s="6"/>
      <c r="AL76" s="6" t="s">
        <v>64</v>
      </c>
      <c r="AM76" s="6">
        <v>-0.14525519300424969</v>
      </c>
    </row>
    <row r="77" spans="1:39" x14ac:dyDescent="0.45">
      <c r="A77" t="s">
        <v>56</v>
      </c>
      <c r="B77">
        <v>1.7809999999999999E-2</v>
      </c>
      <c r="C77">
        <v>0.1717530848407369</v>
      </c>
      <c r="D77">
        <v>0.64672463727121587</v>
      </c>
      <c r="F77" s="6" t="s">
        <v>74</v>
      </c>
      <c r="G77" s="6">
        <v>9.1730000000000006E-2</v>
      </c>
      <c r="H77" s="6"/>
      <c r="I77" s="6" t="s">
        <v>64</v>
      </c>
      <c r="J77" s="6">
        <v>0.9884892837892485</v>
      </c>
      <c r="K77" s="6"/>
      <c r="L77" s="6" t="s">
        <v>66</v>
      </c>
      <c r="M77" s="6">
        <v>4.4954169015043712</v>
      </c>
      <c r="AA77" t="s">
        <v>56</v>
      </c>
      <c r="AB77">
        <v>-0.52573684210526317</v>
      </c>
      <c r="AC77">
        <v>-0.60507599710135507</v>
      </c>
      <c r="AD77">
        <v>-0.48222841620655837</v>
      </c>
      <c r="AF77" s="6" t="s">
        <v>74</v>
      </c>
      <c r="AG77" s="6">
        <v>-0.13668421052631574</v>
      </c>
      <c r="AH77" s="6"/>
      <c r="AI77" s="6" t="s">
        <v>64</v>
      </c>
      <c r="AJ77" s="6">
        <v>-0.1160124049166176</v>
      </c>
      <c r="AK77" s="6"/>
      <c r="AL77" s="6" t="s">
        <v>66</v>
      </c>
      <c r="AM77" s="6">
        <v>-0.1236100539038044</v>
      </c>
    </row>
    <row r="78" spans="1:39" x14ac:dyDescent="0.45">
      <c r="A78" t="s">
        <v>57</v>
      </c>
      <c r="B78">
        <v>3.3410000000000002E-2</v>
      </c>
      <c r="C78">
        <v>0.39858565782271144</v>
      </c>
      <c r="D78">
        <v>1.6997944185207976</v>
      </c>
      <c r="F78" s="6" t="s">
        <v>19</v>
      </c>
      <c r="G78" s="6">
        <v>9.3609999999999999E-2</v>
      </c>
      <c r="H78" s="6"/>
      <c r="I78" s="6" t="s">
        <v>60</v>
      </c>
      <c r="J78" s="6">
        <v>1.0163125843158618</v>
      </c>
      <c r="K78" s="6"/>
      <c r="L78" s="6" t="s">
        <v>67</v>
      </c>
      <c r="M78" s="6">
        <v>4.4954169015043712</v>
      </c>
      <c r="AA78" t="s">
        <v>57</v>
      </c>
      <c r="AB78">
        <v>-0.44363157894736843</v>
      </c>
      <c r="AC78">
        <v>-0.46924810908819675</v>
      </c>
      <c r="AD78">
        <v>-0.38410413543414118</v>
      </c>
      <c r="AF78" s="6" t="s">
        <v>19</v>
      </c>
      <c r="AG78" s="6">
        <v>-0.12678947368421054</v>
      </c>
      <c r="AH78" s="6"/>
      <c r="AI78" s="6" t="s">
        <v>60</v>
      </c>
      <c r="AJ78" s="6">
        <v>-9.9351745918645568E-2</v>
      </c>
      <c r="AK78" s="6"/>
      <c r="AL78" s="6" t="s">
        <v>67</v>
      </c>
      <c r="AM78" s="6">
        <v>-0.1236100539038044</v>
      </c>
    </row>
    <row r="79" spans="1:39" x14ac:dyDescent="0.45">
      <c r="A79" t="s">
        <v>58</v>
      </c>
      <c r="B79">
        <v>6.447E-2</v>
      </c>
      <c r="C79">
        <v>0.80317261381892979</v>
      </c>
      <c r="D79">
        <v>3.5130618965813669</v>
      </c>
      <c r="F79" s="6" t="s">
        <v>7</v>
      </c>
      <c r="G79" s="6">
        <v>9.4289999999999999E-2</v>
      </c>
      <c r="H79" s="6"/>
      <c r="I79" s="6" t="s">
        <v>50</v>
      </c>
      <c r="J79" s="6">
        <v>1.0430962384515565</v>
      </c>
      <c r="K79" s="6"/>
      <c r="L79" s="6" t="s">
        <v>60</v>
      </c>
      <c r="M79" s="6">
        <v>5.7116719278214365</v>
      </c>
      <c r="AA79" t="s">
        <v>58</v>
      </c>
      <c r="AB79">
        <v>-0.28015789473684211</v>
      </c>
      <c r="AC79">
        <v>-0.22698047076710787</v>
      </c>
      <c r="AD79">
        <v>-0.21514518294992857</v>
      </c>
      <c r="AF79" s="6" t="s">
        <v>7</v>
      </c>
      <c r="AG79" s="6">
        <v>-0.12321052631578948</v>
      </c>
      <c r="AH79" s="6"/>
      <c r="AI79" s="6" t="s">
        <v>50</v>
      </c>
      <c r="AJ79" s="6">
        <v>-8.3313629669726566E-2</v>
      </c>
      <c r="AK79" s="6"/>
      <c r="AL79" s="6" t="s">
        <v>60</v>
      </c>
      <c r="AM79" s="6">
        <v>-1.0280289990548227E-2</v>
      </c>
    </row>
    <row r="80" spans="1:39" x14ac:dyDescent="0.45">
      <c r="A80" t="s">
        <v>59</v>
      </c>
      <c r="B80">
        <v>8.2140000000000005E-2</v>
      </c>
      <c r="C80">
        <v>2.669982831664838</v>
      </c>
      <c r="D80">
        <v>20.466981504786911</v>
      </c>
      <c r="F80" s="6" t="s">
        <v>35</v>
      </c>
      <c r="G80" s="6">
        <v>0.1037</v>
      </c>
      <c r="H80" s="6"/>
      <c r="I80" s="6" t="s">
        <v>70</v>
      </c>
      <c r="J80" s="6">
        <v>1.3061576610001779</v>
      </c>
      <c r="K80" s="6"/>
      <c r="L80" s="6" t="s">
        <v>50</v>
      </c>
      <c r="M80" s="6">
        <v>5.925391841897107</v>
      </c>
      <c r="AA80" t="s">
        <v>59</v>
      </c>
      <c r="AB80">
        <v>-0.18715789473684208</v>
      </c>
      <c r="AC80">
        <v>0.8908699590807414</v>
      </c>
      <c r="AD80">
        <v>1.3646087872518555</v>
      </c>
      <c r="AF80" s="6" t="s">
        <v>35</v>
      </c>
      <c r="AG80" s="6">
        <v>-7.3684210526315783E-2</v>
      </c>
      <c r="AH80" s="6"/>
      <c r="AI80" s="6" t="s">
        <v>70</v>
      </c>
      <c r="AJ80" s="6">
        <v>7.420818023962758E-2</v>
      </c>
      <c r="AK80" s="6"/>
      <c r="AL80" s="6" t="s">
        <v>50</v>
      </c>
      <c r="AM80" s="6">
        <v>9.6339770683103749E-3</v>
      </c>
    </row>
    <row r="81" spans="1:39" x14ac:dyDescent="0.45">
      <c r="A81" t="s">
        <v>60</v>
      </c>
      <c r="B81">
        <v>5.3150000000000003E-2</v>
      </c>
      <c r="C81">
        <v>1.0163125843158618</v>
      </c>
      <c r="D81">
        <v>5.7116719278214365</v>
      </c>
      <c r="F81" s="6" t="s">
        <v>29</v>
      </c>
      <c r="G81" s="6">
        <v>0.1051</v>
      </c>
      <c r="H81" s="6"/>
      <c r="I81" s="6" t="s">
        <v>10</v>
      </c>
      <c r="J81" s="6">
        <v>1.319903130958362</v>
      </c>
      <c r="K81" s="6"/>
      <c r="L81" s="6" t="s">
        <v>76</v>
      </c>
      <c r="M81" s="6">
        <v>6.8112496648825722</v>
      </c>
      <c r="AA81" t="s">
        <v>60</v>
      </c>
      <c r="AB81">
        <v>-0.33973684210526311</v>
      </c>
      <c r="AC81">
        <v>-9.9351745918645568E-2</v>
      </c>
      <c r="AD81">
        <v>-1.0280289990548227E-2</v>
      </c>
      <c r="AF81" s="6" t="s">
        <v>29</v>
      </c>
      <c r="AG81" s="6">
        <v>-6.6315789473684217E-2</v>
      </c>
      <c r="AH81" s="6"/>
      <c r="AI81" s="6" t="s">
        <v>10</v>
      </c>
      <c r="AJ81" s="6">
        <v>8.243900057386952E-2</v>
      </c>
      <c r="AK81" s="6"/>
      <c r="AL81" s="6" t="s">
        <v>76</v>
      </c>
      <c r="AM81" s="6">
        <v>9.2177568475826713E-2</v>
      </c>
    </row>
    <row r="82" spans="1:39" x14ac:dyDescent="0.45">
      <c r="A82" t="s">
        <v>61</v>
      </c>
      <c r="B82">
        <v>3.8539999999999998E-2</v>
      </c>
      <c r="C82">
        <v>0.44189281357914828</v>
      </c>
      <c r="D82">
        <v>1.8412200446128824</v>
      </c>
      <c r="F82" s="6" t="s">
        <v>69</v>
      </c>
      <c r="G82" s="6">
        <v>0.1072</v>
      </c>
      <c r="H82" s="6"/>
      <c r="I82" s="6" t="s">
        <v>74</v>
      </c>
      <c r="J82" s="6">
        <v>1.7322195642263483</v>
      </c>
      <c r="K82" s="6"/>
      <c r="L82" s="6" t="s">
        <v>25</v>
      </c>
      <c r="M82" s="6">
        <v>7.2556725526337758</v>
      </c>
      <c r="AA82" t="s">
        <v>61</v>
      </c>
      <c r="AB82">
        <v>-0.41663157894736846</v>
      </c>
      <c r="AC82">
        <v>-0.44331568049152797</v>
      </c>
      <c r="AD82">
        <v>-0.37092619785567632</v>
      </c>
      <c r="AF82" s="6" t="s">
        <v>69</v>
      </c>
      <c r="AG82" s="6">
        <v>-5.526315789473682E-2</v>
      </c>
      <c r="AH82" s="6"/>
      <c r="AI82" s="6" t="s">
        <v>74</v>
      </c>
      <c r="AJ82" s="6">
        <v>0.329335068399011</v>
      </c>
      <c r="AK82" s="6"/>
      <c r="AL82" s="6" t="s">
        <v>25</v>
      </c>
      <c r="AM82" s="6">
        <v>0.13358857180709802</v>
      </c>
    </row>
    <row r="83" spans="1:39" x14ac:dyDescent="0.45">
      <c r="A83" t="s">
        <v>62</v>
      </c>
      <c r="B83">
        <v>3.9039999999999998E-2</v>
      </c>
      <c r="C83">
        <v>0.23061477071783906</v>
      </c>
      <c r="D83">
        <v>0.65188286699735609</v>
      </c>
      <c r="F83" s="6" t="s">
        <v>55</v>
      </c>
      <c r="G83" s="6">
        <v>0.1217</v>
      </c>
      <c r="H83" s="6"/>
      <c r="I83" s="6" t="s">
        <v>12</v>
      </c>
      <c r="J83" s="6">
        <v>1.7759448759127925</v>
      </c>
      <c r="K83" s="6"/>
      <c r="L83" s="6" t="s">
        <v>27</v>
      </c>
      <c r="M83" s="6">
        <v>7.4815614217753161</v>
      </c>
      <c r="AA83" t="s">
        <v>62</v>
      </c>
      <c r="AB83">
        <v>-0.41400000000000003</v>
      </c>
      <c r="AC83">
        <v>-0.56982947861207234</v>
      </c>
      <c r="AD83">
        <v>-0.48174777609044395</v>
      </c>
      <c r="AF83" s="6" t="s">
        <v>55</v>
      </c>
      <c r="AG83" s="6">
        <v>2.1052631578947385E-2</v>
      </c>
      <c r="AH83" s="6"/>
      <c r="AI83" s="6" t="s">
        <v>12</v>
      </c>
      <c r="AJ83" s="6">
        <v>0.35551788976813931</v>
      </c>
      <c r="AK83" s="6"/>
      <c r="AL83" s="6" t="s">
        <v>27</v>
      </c>
      <c r="AM83" s="6">
        <v>0.15463673329997354</v>
      </c>
    </row>
    <row r="84" spans="1:39" x14ac:dyDescent="0.45">
      <c r="A84" t="s">
        <v>63</v>
      </c>
      <c r="B84">
        <v>4.4260000000000001E-2</v>
      </c>
      <c r="C84">
        <v>0.51364391297939893</v>
      </c>
      <c r="D84">
        <v>2.1553594353107481</v>
      </c>
      <c r="F84" s="6" t="s">
        <v>1</v>
      </c>
      <c r="G84" s="6">
        <v>0.13780000000000001</v>
      </c>
      <c r="H84" s="6"/>
      <c r="I84" s="6" t="s">
        <v>76</v>
      </c>
      <c r="J84" s="6">
        <v>1.9230447545026816</v>
      </c>
      <c r="K84" s="6"/>
      <c r="L84" s="6" t="s">
        <v>10</v>
      </c>
      <c r="M84" s="6">
        <v>7.5768055863232666</v>
      </c>
      <c r="AA84" t="s">
        <v>63</v>
      </c>
      <c r="AB84">
        <v>-0.38652631578947372</v>
      </c>
      <c r="AC84">
        <v>-0.40035095031173712</v>
      </c>
      <c r="AD84">
        <v>-0.34165491657559188</v>
      </c>
      <c r="AF84" s="6" t="s">
        <v>1</v>
      </c>
      <c r="AG84" s="6">
        <v>0.10578947368421056</v>
      </c>
      <c r="AH84" s="6"/>
      <c r="AI84" s="6" t="s">
        <v>76</v>
      </c>
      <c r="AJ84" s="6">
        <v>0.44360164940280344</v>
      </c>
      <c r="AK84" s="6"/>
      <c r="AL84" s="6" t="s">
        <v>10</v>
      </c>
      <c r="AM84" s="6">
        <v>0.16351151568424027</v>
      </c>
    </row>
    <row r="85" spans="1:39" x14ac:dyDescent="0.45">
      <c r="A85" t="s">
        <v>64</v>
      </c>
      <c r="B85">
        <v>8.1280000000000005E-2</v>
      </c>
      <c r="C85">
        <v>0.9884892837892485</v>
      </c>
      <c r="D85">
        <v>4.2631212686783924</v>
      </c>
      <c r="F85" s="6" t="s">
        <v>31</v>
      </c>
      <c r="G85" s="6">
        <v>0.1454</v>
      </c>
      <c r="H85" s="6"/>
      <c r="I85" s="6" t="s">
        <v>27</v>
      </c>
      <c r="J85" s="6">
        <v>1.9509980270212828</v>
      </c>
      <c r="K85" s="6"/>
      <c r="L85" s="6" t="s">
        <v>68</v>
      </c>
      <c r="M85" s="6">
        <v>9.6626372703398893</v>
      </c>
      <c r="AA85" t="s">
        <v>64</v>
      </c>
      <c r="AB85">
        <v>-0.19168421052631576</v>
      </c>
      <c r="AC85">
        <v>-0.1160124049166176</v>
      </c>
      <c r="AD85">
        <v>-0.14525519300424969</v>
      </c>
      <c r="AF85" s="6" t="s">
        <v>31</v>
      </c>
      <c r="AG85" s="6">
        <v>0.14578947368421052</v>
      </c>
      <c r="AH85" s="6"/>
      <c r="AI85" s="6" t="s">
        <v>27</v>
      </c>
      <c r="AJ85" s="6">
        <v>0.46034013594088796</v>
      </c>
      <c r="AK85" s="6"/>
      <c r="AL85" s="6" t="s">
        <v>68</v>
      </c>
      <c r="AM85" s="6">
        <v>0.35786780379611344</v>
      </c>
    </row>
    <row r="86" spans="1:39" x14ac:dyDescent="0.45">
      <c r="A86" t="s">
        <v>65</v>
      </c>
      <c r="B86">
        <v>4.258E-2</v>
      </c>
      <c r="C86">
        <v>0.4932917554459077</v>
      </c>
      <c r="D86">
        <v>2.0678601141091404</v>
      </c>
      <c r="F86" s="6" t="s">
        <v>68</v>
      </c>
      <c r="G86" s="6">
        <v>0.14749999999999999</v>
      </c>
      <c r="H86" s="6"/>
      <c r="I86" s="6" t="s">
        <v>68</v>
      </c>
      <c r="J86" s="6">
        <v>2.0639533808329174</v>
      </c>
      <c r="K86" s="6"/>
      <c r="L86" s="6" t="s">
        <v>74</v>
      </c>
      <c r="M86" s="6">
        <v>9.6640840029430315</v>
      </c>
      <c r="AA86" t="s">
        <v>65</v>
      </c>
      <c r="AB86">
        <v>-0.39536842105263154</v>
      </c>
      <c r="AC86">
        <v>-0.41253787099047434</v>
      </c>
      <c r="AD86">
        <v>-0.34980804005691951</v>
      </c>
      <c r="AF86" s="6" t="s">
        <v>68</v>
      </c>
      <c r="AG86" s="6">
        <v>0.15684210526315787</v>
      </c>
      <c r="AH86" s="6"/>
      <c r="AI86" s="6" t="s">
        <v>68</v>
      </c>
      <c r="AJ86" s="6">
        <v>0.52797807235504046</v>
      </c>
      <c r="AK86" s="6"/>
      <c r="AL86" s="6" t="s">
        <v>74</v>
      </c>
      <c r="AM86" s="6">
        <v>0.35800260929398359</v>
      </c>
    </row>
    <row r="87" spans="1:39" x14ac:dyDescent="0.45">
      <c r="A87" t="s">
        <v>66</v>
      </c>
      <c r="B87">
        <v>4.7849999999999997E-2</v>
      </c>
      <c r="C87">
        <v>0.8405799959739676</v>
      </c>
      <c r="D87">
        <v>4.4954169015043712</v>
      </c>
      <c r="F87" s="6" t="s">
        <v>70</v>
      </c>
      <c r="G87" s="6">
        <v>0.1956</v>
      </c>
      <c r="H87" s="6"/>
      <c r="I87" s="6" t="s">
        <v>37</v>
      </c>
      <c r="J87" s="6">
        <v>2.0759869153659007</v>
      </c>
      <c r="K87" s="6"/>
      <c r="L87" s="6" t="s">
        <v>71</v>
      </c>
      <c r="M87" s="6">
        <v>9.883078447650151</v>
      </c>
      <c r="AA87" t="s">
        <v>66</v>
      </c>
      <c r="AB87">
        <v>-0.36763157894736842</v>
      </c>
      <c r="AC87">
        <v>-0.20458084073415109</v>
      </c>
      <c r="AD87">
        <v>-0.1236100539038044</v>
      </c>
      <c r="AF87" s="6" t="s">
        <v>70</v>
      </c>
      <c r="AG87" s="6">
        <v>0.41</v>
      </c>
      <c r="AH87" s="6"/>
      <c r="AI87" s="6" t="s">
        <v>37</v>
      </c>
      <c r="AJ87" s="6">
        <v>0.53518378165622804</v>
      </c>
      <c r="AK87" s="6"/>
      <c r="AL87" s="6" t="s">
        <v>71</v>
      </c>
      <c r="AM87" s="6">
        <v>0.37840835330321948</v>
      </c>
    </row>
    <row r="88" spans="1:39" x14ac:dyDescent="0.45">
      <c r="A88" t="s">
        <v>67</v>
      </c>
      <c r="B88">
        <v>4.7849999999999997E-2</v>
      </c>
      <c r="C88">
        <v>0.8405799959739676</v>
      </c>
      <c r="D88">
        <v>4.4954169015043712</v>
      </c>
      <c r="F88" s="6" t="s">
        <v>27</v>
      </c>
      <c r="G88" s="6">
        <v>0.1961</v>
      </c>
      <c r="H88" s="6"/>
      <c r="I88" s="6" t="s">
        <v>1</v>
      </c>
      <c r="J88" s="6">
        <v>2.1311842121763789</v>
      </c>
      <c r="K88" s="6"/>
      <c r="L88" s="6" t="s">
        <v>36</v>
      </c>
      <c r="M88" s="6">
        <v>10.416324128114848</v>
      </c>
      <c r="AA88" t="s">
        <v>67</v>
      </c>
      <c r="AB88">
        <v>-0.36763157894736842</v>
      </c>
      <c r="AC88">
        <v>-0.20458084073415109</v>
      </c>
      <c r="AD88">
        <v>-0.1236100539038044</v>
      </c>
      <c r="AF88" s="6" t="s">
        <v>27</v>
      </c>
      <c r="AG88" s="6">
        <v>0.4126315789473684</v>
      </c>
      <c r="AH88" s="6"/>
      <c r="AI88" s="6" t="s">
        <v>1</v>
      </c>
      <c r="AJ88" s="6">
        <v>0.56823605519543652</v>
      </c>
      <c r="AK88" s="6"/>
      <c r="AL88" s="6" t="s">
        <v>36</v>
      </c>
      <c r="AM88" s="6">
        <v>0.42809580023433175</v>
      </c>
    </row>
    <row r="89" spans="1:39" x14ac:dyDescent="0.45">
      <c r="A89" t="s">
        <v>68</v>
      </c>
      <c r="B89">
        <v>0.14749999999999999</v>
      </c>
      <c r="C89">
        <v>2.0639533808329174</v>
      </c>
      <c r="D89">
        <v>9.6626372703398893</v>
      </c>
      <c r="F89" s="6" t="s">
        <v>36</v>
      </c>
      <c r="G89" s="6">
        <v>0.20330000000000001</v>
      </c>
      <c r="H89" s="6"/>
      <c r="I89" s="6" t="s">
        <v>36</v>
      </c>
      <c r="J89" s="6">
        <v>2.4361910923846644</v>
      </c>
      <c r="K89" s="6"/>
      <c r="L89" s="6" t="s">
        <v>1</v>
      </c>
      <c r="M89" s="6">
        <v>10.579001434113323</v>
      </c>
      <c r="AA89" t="s">
        <v>68</v>
      </c>
      <c r="AB89">
        <v>0.15684210526315787</v>
      </c>
      <c r="AC89">
        <v>0.52797807235504046</v>
      </c>
      <c r="AD89">
        <v>0.35786780379611344</v>
      </c>
      <c r="AF89" s="6" t="s">
        <v>36</v>
      </c>
      <c r="AG89" s="6">
        <v>0.45052631578947372</v>
      </c>
      <c r="AH89" s="6"/>
      <c r="AI89" s="6" t="s">
        <v>36</v>
      </c>
      <c r="AJ89" s="6">
        <v>0.75087490561955961</v>
      </c>
      <c r="AK89" s="6"/>
      <c r="AL89" s="6" t="s">
        <v>1</v>
      </c>
      <c r="AM89" s="6">
        <v>0.44325395397999656</v>
      </c>
    </row>
    <row r="90" spans="1:39" x14ac:dyDescent="0.45">
      <c r="A90" t="s">
        <v>69</v>
      </c>
      <c r="B90">
        <v>0.1072</v>
      </c>
      <c r="C90">
        <v>0.97132570695370091</v>
      </c>
      <c r="D90">
        <v>3.5264890964449558</v>
      </c>
      <c r="F90" s="6" t="s">
        <v>76</v>
      </c>
      <c r="G90" s="6">
        <v>0.22140000000000001</v>
      </c>
      <c r="H90" s="6"/>
      <c r="I90" s="6" t="s">
        <v>59</v>
      </c>
      <c r="J90" s="6">
        <v>2.669982831664838</v>
      </c>
      <c r="K90" s="6"/>
      <c r="L90" s="6" t="s">
        <v>12</v>
      </c>
      <c r="M90" s="6">
        <v>10.811776900434324</v>
      </c>
      <c r="AA90" t="s">
        <v>69</v>
      </c>
      <c r="AB90">
        <v>-5.526315789473682E-2</v>
      </c>
      <c r="AC90">
        <v>-0.12628999583610717</v>
      </c>
      <c r="AD90">
        <v>-0.21389404617546071</v>
      </c>
      <c r="AF90" s="6" t="s">
        <v>76</v>
      </c>
      <c r="AG90" s="6">
        <v>0.5457894736842106</v>
      </c>
      <c r="AH90" s="6"/>
      <c r="AI90" s="6" t="s">
        <v>59</v>
      </c>
      <c r="AJ90" s="6">
        <v>0.8908699590807414</v>
      </c>
      <c r="AK90" s="6"/>
      <c r="AL90" s="6" t="s">
        <v>12</v>
      </c>
      <c r="AM90" s="6">
        <v>0.46494380361855431</v>
      </c>
    </row>
    <row r="91" spans="1:39" x14ac:dyDescent="0.45">
      <c r="A91" t="s">
        <v>70</v>
      </c>
      <c r="B91">
        <v>0.1956</v>
      </c>
      <c r="C91">
        <v>1.3061576610001779</v>
      </c>
      <c r="D91">
        <v>3.9667133335808171</v>
      </c>
      <c r="F91" s="6" t="s">
        <v>2</v>
      </c>
      <c r="G91" s="6">
        <v>0.245</v>
      </c>
      <c r="H91" s="6"/>
      <c r="I91" s="6" t="s">
        <v>2</v>
      </c>
      <c r="J91" s="6">
        <v>2.7887634841513034</v>
      </c>
      <c r="K91" s="6"/>
      <c r="L91" s="6" t="s">
        <v>2</v>
      </c>
      <c r="M91" s="6">
        <v>11.5704951830513</v>
      </c>
      <c r="AA91" t="s">
        <v>70</v>
      </c>
      <c r="AB91">
        <v>0.41</v>
      </c>
      <c r="AC91">
        <v>7.420818023962758E-2</v>
      </c>
      <c r="AD91">
        <v>-0.17287427007260373</v>
      </c>
      <c r="AF91" s="6" t="s">
        <v>2</v>
      </c>
      <c r="AG91" s="6">
        <v>0.66999999999999993</v>
      </c>
      <c r="AH91" s="6"/>
      <c r="AI91" s="6" t="s">
        <v>2</v>
      </c>
      <c r="AJ91" s="6">
        <v>0.96199609829419375</v>
      </c>
      <c r="AK91" s="6"/>
      <c r="AL91" s="6" t="s">
        <v>2</v>
      </c>
      <c r="AM91" s="6">
        <v>0.53564062458547335</v>
      </c>
    </row>
    <row r="92" spans="1:39" x14ac:dyDescent="0.45">
      <c r="A92" t="s">
        <v>71</v>
      </c>
      <c r="B92">
        <v>0.58740000000000003</v>
      </c>
      <c r="C92">
        <v>3.4865211751107288</v>
      </c>
      <c r="D92">
        <v>9.883078447650151</v>
      </c>
      <c r="F92" s="6" t="s">
        <v>24</v>
      </c>
      <c r="G92" s="6">
        <v>0.30590000000000001</v>
      </c>
      <c r="H92" s="6"/>
      <c r="I92" s="6" t="s">
        <v>16</v>
      </c>
      <c r="J92" s="6">
        <v>3.2670635095311531</v>
      </c>
      <c r="K92" s="6"/>
      <c r="L92" s="6" t="s">
        <v>16</v>
      </c>
      <c r="M92" s="6">
        <v>11.849239012281259</v>
      </c>
      <c r="AA92" t="s">
        <v>71</v>
      </c>
      <c r="AB92">
        <v>2.4721052631578946</v>
      </c>
      <c r="AC92">
        <v>1.379815074916604</v>
      </c>
      <c r="AD92">
        <v>0.37840835330321948</v>
      </c>
      <c r="AF92" s="6" t="s">
        <v>24</v>
      </c>
      <c r="AG92" s="6">
        <v>0.9905263157894737</v>
      </c>
      <c r="AH92" s="6"/>
      <c r="AI92" s="6" t="s">
        <v>16</v>
      </c>
      <c r="AJ92" s="6">
        <v>1.248403299120451</v>
      </c>
      <c r="AK92" s="6"/>
      <c r="AL92" s="6" t="s">
        <v>16</v>
      </c>
      <c r="AM92" s="6">
        <v>0.56161377304148896</v>
      </c>
    </row>
    <row r="93" spans="1:39" x14ac:dyDescent="0.45">
      <c r="A93" t="s">
        <v>73</v>
      </c>
      <c r="B93">
        <v>2.1510000000000001E-2</v>
      </c>
      <c r="C93">
        <v>0.15291545354702152</v>
      </c>
      <c r="D93">
        <v>0.48171514285272665</v>
      </c>
      <c r="F93" s="6" t="s">
        <v>16</v>
      </c>
      <c r="G93" s="6">
        <v>0.36120000000000002</v>
      </c>
      <c r="H93" s="6"/>
      <c r="I93" s="6" t="s">
        <v>71</v>
      </c>
      <c r="J93" s="6">
        <v>3.4865211751107288</v>
      </c>
      <c r="K93" s="6"/>
      <c r="L93" s="6" t="s">
        <v>3</v>
      </c>
      <c r="M93" s="6">
        <v>16.57754160221824</v>
      </c>
      <c r="AA93" t="s">
        <v>73</v>
      </c>
      <c r="AB93">
        <v>-0.50626315789473686</v>
      </c>
      <c r="AC93">
        <v>-0.6163560158401068</v>
      </c>
      <c r="AD93">
        <v>-0.4976038815828619</v>
      </c>
      <c r="AF93" s="6" t="s">
        <v>16</v>
      </c>
      <c r="AG93" s="6">
        <v>1.2815789473684212</v>
      </c>
      <c r="AH93" s="6"/>
      <c r="AI93" s="6" t="s">
        <v>71</v>
      </c>
      <c r="AJ93" s="6">
        <v>1.379815074916604</v>
      </c>
      <c r="AK93" s="6"/>
      <c r="AL93" s="6" t="s">
        <v>3</v>
      </c>
      <c r="AM93" s="6">
        <v>1.0021935894724414</v>
      </c>
    </row>
    <row r="94" spans="1:39" x14ac:dyDescent="0.45">
      <c r="A94" t="s">
        <v>74</v>
      </c>
      <c r="B94">
        <v>9.1730000000000006E-2</v>
      </c>
      <c r="C94">
        <v>1.7322195642263483</v>
      </c>
      <c r="D94">
        <v>9.6640840029430315</v>
      </c>
      <c r="F94" s="6" t="s">
        <v>3</v>
      </c>
      <c r="G94" s="6">
        <v>0.38600000000000001</v>
      </c>
      <c r="H94" s="6"/>
      <c r="I94" s="6" t="s">
        <v>3</v>
      </c>
      <c r="J94" s="6">
        <v>4.1381508474458109</v>
      </c>
      <c r="K94" s="6"/>
      <c r="L94" s="6" t="s">
        <v>24</v>
      </c>
      <c r="M94" s="6">
        <v>19.817834916927318</v>
      </c>
      <c r="AA94" t="s">
        <v>74</v>
      </c>
      <c r="AB94">
        <v>-0.13668421052631574</v>
      </c>
      <c r="AC94">
        <v>0.329335068399011</v>
      </c>
      <c r="AD94">
        <v>0.35800260929398359</v>
      </c>
      <c r="AF94" s="6" t="s">
        <v>3</v>
      </c>
      <c r="AG94" s="6">
        <v>1.4121052631578945</v>
      </c>
      <c r="AH94" s="6"/>
      <c r="AI94" s="6" t="s">
        <v>3</v>
      </c>
      <c r="AJ94" s="6">
        <v>1.7700124835004858</v>
      </c>
      <c r="AK94" s="6"/>
      <c r="AL94" s="6" t="s">
        <v>24</v>
      </c>
      <c r="AM94" s="6">
        <v>1.3041217775742937</v>
      </c>
    </row>
    <row r="95" spans="1:39" x14ac:dyDescent="0.45">
      <c r="A95" t="s">
        <v>75</v>
      </c>
      <c r="B95">
        <v>0</v>
      </c>
      <c r="C95">
        <v>0</v>
      </c>
      <c r="D95">
        <v>0</v>
      </c>
      <c r="F95" s="6" t="s">
        <v>71</v>
      </c>
      <c r="G95" s="6">
        <v>0.58740000000000003</v>
      </c>
      <c r="H95" s="6"/>
      <c r="I95" s="6" t="s">
        <v>11</v>
      </c>
      <c r="J95" s="6">
        <v>4.1644769080426913</v>
      </c>
      <c r="K95" s="6"/>
      <c r="L95" s="6" t="s">
        <v>59</v>
      </c>
      <c r="M95" s="6">
        <v>20.466981504786911</v>
      </c>
      <c r="AA95" t="s">
        <v>75</v>
      </c>
      <c r="AB95">
        <v>-0.61947368421052629</v>
      </c>
      <c r="AC95">
        <v>-0.70792215568862271</v>
      </c>
      <c r="AD95">
        <v>-0.54248975027953783</v>
      </c>
      <c r="AF95" s="6" t="s">
        <v>71</v>
      </c>
      <c r="AG95" s="6">
        <v>2.4721052631578946</v>
      </c>
      <c r="AH95" s="6"/>
      <c r="AI95" s="6" t="s">
        <v>11</v>
      </c>
      <c r="AJ95" s="6">
        <v>1.7857765916423305</v>
      </c>
      <c r="AK95" s="6"/>
      <c r="AL95" s="6" t="s">
        <v>59</v>
      </c>
      <c r="AM95" s="6">
        <v>1.3646087872518555</v>
      </c>
    </row>
    <row r="96" spans="1:39" x14ac:dyDescent="0.45">
      <c r="A96" t="s">
        <v>76</v>
      </c>
      <c r="B96">
        <v>0.22140000000000001</v>
      </c>
      <c r="C96">
        <v>1.9230447545026816</v>
      </c>
      <c r="D96">
        <v>6.8112496648825722</v>
      </c>
      <c r="F96" s="6" t="s">
        <v>77</v>
      </c>
      <c r="G96" s="6">
        <v>0.60399999999999998</v>
      </c>
      <c r="H96" s="6"/>
      <c r="I96" s="6" t="s">
        <v>24</v>
      </c>
      <c r="J96" s="6">
        <v>4.2505196374318324</v>
      </c>
      <c r="K96" s="6"/>
      <c r="L96" s="6" t="s">
        <v>11</v>
      </c>
      <c r="M96" s="6">
        <v>55.118723568032429</v>
      </c>
      <c r="AA96" t="s">
        <v>76</v>
      </c>
      <c r="AB96">
        <v>0.5457894736842106</v>
      </c>
      <c r="AC96">
        <v>0.44360164940280344</v>
      </c>
      <c r="AD96">
        <v>9.2177568475826713E-2</v>
      </c>
      <c r="AF96" s="6" t="s">
        <v>77</v>
      </c>
      <c r="AG96" s="6">
        <v>2.5594736842105261</v>
      </c>
      <c r="AH96" s="6"/>
      <c r="AI96" s="6" t="s">
        <v>24</v>
      </c>
      <c r="AJ96" s="6">
        <v>1.8372991840909179</v>
      </c>
      <c r="AK96" s="6"/>
      <c r="AL96" s="6" t="s">
        <v>11</v>
      </c>
      <c r="AM96" s="6">
        <v>4.5934330570287392</v>
      </c>
    </row>
    <row r="97" spans="1:39" x14ac:dyDescent="0.45">
      <c r="A97" t="s">
        <v>77</v>
      </c>
      <c r="B97">
        <v>0.60399999999999998</v>
      </c>
      <c r="C97">
        <v>11.770556290303324</v>
      </c>
      <c r="D97">
        <v>66.888474908997821</v>
      </c>
      <c r="F97" s="6" t="s">
        <v>37</v>
      </c>
      <c r="G97" s="6">
        <v>1.343</v>
      </c>
      <c r="H97" s="6"/>
      <c r="I97" s="6" t="s">
        <v>77</v>
      </c>
      <c r="J97" s="6">
        <v>11.770556290303324</v>
      </c>
      <c r="K97" s="6"/>
      <c r="L97" s="6" t="s">
        <v>77</v>
      </c>
      <c r="M97" s="6">
        <v>66.888474908997821</v>
      </c>
      <c r="AA97" t="s">
        <v>77</v>
      </c>
      <c r="AB97">
        <v>2.5594736842105261</v>
      </c>
      <c r="AC97">
        <v>6.3403151438942054</v>
      </c>
      <c r="AD97">
        <v>5.6901299766117983</v>
      </c>
      <c r="AF97" t="s">
        <v>37</v>
      </c>
      <c r="AG97">
        <v>6.4489473684210532</v>
      </c>
      <c r="AI97" t="s">
        <v>77</v>
      </c>
      <c r="AJ97">
        <v>6.3403151438942054</v>
      </c>
      <c r="AL97" t="s">
        <v>77</v>
      </c>
      <c r="AM97">
        <v>5.6901299766117983</v>
      </c>
    </row>
  </sheetData>
  <sortState xmlns:xlrd2="http://schemas.microsoft.com/office/spreadsheetml/2017/richdata2" ref="L30:M97">
    <sortCondition ref="M30:M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IC50 80 90</vt:lpstr>
      <vt:lpstr>Z-score of All IC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Custemcells Lab</dc:creator>
  <cp:lastModifiedBy>Custemcells Lab</cp:lastModifiedBy>
  <dcterms:created xsi:type="dcterms:W3CDTF">2026-06-08T09:12:05Z</dcterms:created>
  <dcterms:modified xsi:type="dcterms:W3CDTF">2026-07-09T05:35:41Z</dcterms:modified>
</cp:coreProperties>
</file>